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firstSheet="3" activeTab="2"/>
  </bookViews>
  <sheets>
    <sheet name="Raw_Data" sheetId="1" r:id="rId1"/>
    <sheet name="Pivot_Calculations" sheetId="2" r:id="rId2"/>
    <sheet name="Dashboard" sheetId="3" r:id="rId3"/>
    <sheet name="Category_Analysis" sheetId="4" r:id="rId4"/>
    <sheet name="City_Analysis" sheetId="5" r:id="rId5"/>
    <sheet name="Aging_Analysis" sheetId="6" r:id="rId6"/>
    <sheet name="Trend_Analysis" sheetId="7" r:id="rId7"/>
    <sheet name="SLA_Performance" sheetId="8" r:id="rId8"/>
    <sheet name="README" sheetId="9" r:id="rId9"/>
  </sheets>
  <calcPr calcId="124519" fullCalcOnLoad="1"/>
</workbook>
</file>

<file path=xl/sharedStrings.xml><?xml version="1.0" encoding="utf-8"?>
<sst xmlns="http://schemas.openxmlformats.org/spreadsheetml/2006/main" count="2404" uniqueCount="370">
  <si>
    <t>Issue ID</t>
  </si>
  <si>
    <t>Reported At</t>
  </si>
  <si>
    <t>Reported Date</t>
  </si>
  <si>
    <t>Reported Month</t>
  </si>
  <si>
    <t>Reporter</t>
  </si>
  <si>
    <t>Reporter ID</t>
  </si>
  <si>
    <t>Designation</t>
  </si>
  <si>
    <t>Department</t>
  </si>
  <si>
    <t>State</t>
  </si>
  <si>
    <t>City</t>
  </si>
  <si>
    <t>Reporter Location</t>
  </si>
  <si>
    <t>Issue Title</t>
  </si>
  <si>
    <t>Issue Type</t>
  </si>
  <si>
    <t>Severity</t>
  </si>
  <si>
    <t>Status</t>
  </si>
  <si>
    <t>Aging (Days)</t>
  </si>
  <si>
    <t>Aging Bucket</t>
  </si>
  <si>
    <t>SLA Target (Days)</t>
  </si>
  <si>
    <t>SLA Status</t>
  </si>
  <si>
    <t>Resolved At</t>
  </si>
  <si>
    <t>Resolution (Hrs)</t>
  </si>
  <si>
    <t>Resolver</t>
  </si>
  <si>
    <t>Resolver Department</t>
  </si>
  <si>
    <t>Issue Location</t>
  </si>
  <si>
    <t>Resolved Remarks</t>
  </si>
  <si>
    <t>2026-05</t>
  </si>
  <si>
    <t>Parthipan Mahadevan</t>
  </si>
  <si>
    <t>SPBLRHO126</t>
  </si>
  <si>
    <t>Manager - Training &amp; Development</t>
  </si>
  <si>
    <t>Operations</t>
  </si>
  <si>
    <t>Karnataka</t>
  </si>
  <si>
    <t>Bangalore</t>
  </si>
  <si>
    <t>HQ</t>
  </si>
  <si>
    <t>Toilet gun to be repaired</t>
  </si>
  <si>
    <t>Repair and Maintenance</t>
  </si>
  <si>
    <t>Critical</t>
  </si>
  <si>
    <t>Open</t>
  </si>
  <si>
    <t>0-1 Days</t>
  </si>
  <si>
    <t>Met</t>
  </si>
  <si>
    <t>Training centre Blr</t>
  </si>
  <si>
    <t>Abhimanyu kumar ,</t>
  </si>
  <si>
    <t>SPBLROPS1770</t>
  </si>
  <si>
    <t>Assistant Store Manager</t>
  </si>
  <si>
    <t>Store Operations</t>
  </si>
  <si>
    <t>BLR - DN - Haralur</t>
  </si>
  <si>
    <t>Mcb is getting drip again and again</t>
  </si>
  <si>
    <t>Unspecified</t>
  </si>
  <si>
    <t>Dinesh Kumar</t>
  </si>
  <si>
    <t>SPBLRHO22</t>
  </si>
  <si>
    <t>Regional Manager</t>
  </si>
  <si>
    <t>Corporate Office</t>
  </si>
  <si>
    <t>CCTV needs to fixed at the warehouse basement door</t>
  </si>
  <si>
    <t>IT</t>
  </si>
  <si>
    <t>Central Warehouse Gurgaon</t>
  </si>
  <si>
    <t>Laptop is not working at Indirapuram</t>
  </si>
  <si>
    <t>Closed</t>
  </si>
  <si>
    <t>Mohammad Khalid</t>
  </si>
  <si>
    <t>Indirapuram</t>
  </si>
  <si>
    <t>issue resolve</t>
  </si>
  <si>
    <t>One CCTV not working at FOH</t>
  </si>
  <si>
    <t>NCR - DN - Golf Course Road</t>
  </si>
  <si>
    <t>CCTV not working</t>
  </si>
  <si>
    <t>NCR - CK - Sector 65</t>
  </si>
  <si>
    <t>Sohna Road</t>
  </si>
  <si>
    <t>camera live</t>
  </si>
  <si>
    <t>CCTV cameras not working</t>
  </si>
  <si>
    <t>NCR - DN - Pacific Mall(Dwarka 21)</t>
  </si>
  <si>
    <t>Subhash Singh</t>
  </si>
  <si>
    <t>9818568659</t>
  </si>
  <si>
    <t>Store Manager</t>
  </si>
  <si>
    <t>NCR</t>
  </si>
  <si>
    <t>Delhi</t>
  </si>
  <si>
    <t>Paint Work Required</t>
  </si>
  <si>
    <t>High</t>
  </si>
  <si>
    <t>2-3 Days</t>
  </si>
  <si>
    <t>R Lipou .</t>
  </si>
  <si>
    <t>SPBLROPS17</t>
  </si>
  <si>
    <t>Sarjapur</t>
  </si>
  <si>
    <t>Switch Board</t>
  </si>
  <si>
    <t>Breach</t>
  </si>
  <si>
    <t>Aniruddha Pramanik .</t>
  </si>
  <si>
    <t>SPBLROPS1017</t>
  </si>
  <si>
    <t>Shift Manager</t>
  </si>
  <si>
    <t>Bagmane</t>
  </si>
  <si>
    <t>Ice Cube Machine issue</t>
  </si>
  <si>
    <t>Griller temparature issue</t>
  </si>
  <si>
    <t>Tapash Paul ,</t>
  </si>
  <si>
    <t>SPBLROPS1481</t>
  </si>
  <si>
    <t>Team Member</t>
  </si>
  <si>
    <t>BLR - DN - Bagalur</t>
  </si>
  <si>
    <t>Led light is not working</t>
  </si>
  <si>
    <t>Bitu ,</t>
  </si>
  <si>
    <t>SPBLROPS1671</t>
  </si>
  <si>
    <t>JP Nagar</t>
  </si>
  <si>
    <t>Chiller not working</t>
  </si>
  <si>
    <t>Kashinath Mopagar</t>
  </si>
  <si>
    <t>SPBLROPS1303</t>
  </si>
  <si>
    <t>BLR - DN - Kengeri</t>
  </si>
  <si>
    <t>Bhature Fryer not working</t>
  </si>
  <si>
    <t>Madhu T D</t>
  </si>
  <si>
    <t>Maintenance</t>
  </si>
  <si>
    <t>Issue rectified</t>
  </si>
  <si>
    <t>VARSHINI ,</t>
  </si>
  <si>
    <t>SPBLROPS1545</t>
  </si>
  <si>
    <t>BLR - DN - Airport T-1</t>
  </si>
  <si>
    <t>Tiles damage in kitchen</t>
  </si>
  <si>
    <t>Godavari MR</t>
  </si>
  <si>
    <t>SPBBLROPS1639</t>
  </si>
  <si>
    <t>Nagarbhavi</t>
  </si>
  <si>
    <t>4 door freezer is not working at Nagarbhavi store</t>
  </si>
  <si>
    <t>Manjunatha Anjanappa</t>
  </si>
  <si>
    <t>SPBLRHO87</t>
  </si>
  <si>
    <t>Area Manager</t>
  </si>
  <si>
    <t>Water leakage</t>
  </si>
  <si>
    <t>Jagannatha N</t>
  </si>
  <si>
    <t>Mahadevpura</t>
  </si>
  <si>
    <t>Rectified</t>
  </si>
  <si>
    <t>Jayanthi HM ,</t>
  </si>
  <si>
    <t>9731016121</t>
  </si>
  <si>
    <t>Trainee</t>
  </si>
  <si>
    <t>Begur</t>
  </si>
  <si>
    <t>Ro water not working</t>
  </si>
  <si>
    <t>Medium</t>
  </si>
  <si>
    <t>Radhakrishna S</t>
  </si>
  <si>
    <t>Done</t>
  </si>
  <si>
    <t>Water supply issue</t>
  </si>
  <si>
    <t>Main building borewell water issue it's not under repair and maintenance</t>
  </si>
  <si>
    <t>Eco fryer display getting auto off</t>
  </si>
  <si>
    <t>Working fine</t>
  </si>
  <si>
    <t>Vissicooler light not working</t>
  </si>
  <si>
    <t>Mantosh Roy</t>
  </si>
  <si>
    <t>SPBLROPS1386</t>
  </si>
  <si>
    <t>RT Nagar</t>
  </si>
  <si>
    <t>Vartical Freezer</t>
  </si>
  <si>
    <t>Drainage blocked in kitchen area</t>
  </si>
  <si>
    <t>Brihang ,</t>
  </si>
  <si>
    <t>SPBLROPS113</t>
  </si>
  <si>
    <t>Cloud Kitchen Manager</t>
  </si>
  <si>
    <t>Chiller is not working we need repaired immediately jagan aana pls came Tommorow and check</t>
  </si>
  <si>
    <t>4 door freezer not working at Nagarbhavi</t>
  </si>
  <si>
    <t>Ritik Kumar</t>
  </si>
  <si>
    <t>9990790394</t>
  </si>
  <si>
    <t>Team member</t>
  </si>
  <si>
    <t>Ghaziabad</t>
  </si>
  <si>
    <t>Raj Nagar</t>
  </si>
  <si>
    <t>RO</t>
  </si>
  <si>
    <t>Low</t>
  </si>
  <si>
    <t>Ankur Dubey</t>
  </si>
  <si>
    <t>Ro working now</t>
  </si>
  <si>
    <t>Deep freezer temperature issue</t>
  </si>
  <si>
    <t>Ruman Ali</t>
  </si>
  <si>
    <t>9760255180</t>
  </si>
  <si>
    <t>Gurgaon</t>
  </si>
  <si>
    <t>Socket broken BOH</t>
  </si>
  <si>
    <t>Nitish Kumar Mishra ,</t>
  </si>
  <si>
    <t>Change new</t>
  </si>
  <si>
    <t>Rajo H .</t>
  </si>
  <si>
    <t>SPBLROPS742</t>
  </si>
  <si>
    <t>Bellandur</t>
  </si>
  <si>
    <t>Chillers problem</t>
  </si>
  <si>
    <t>D Gopi ,</t>
  </si>
  <si>
    <t>Issue resolved</t>
  </si>
  <si>
    <t>Abdul Samad</t>
  </si>
  <si>
    <t>SPDNCR790</t>
  </si>
  <si>
    <t>Greater Noida</t>
  </si>
  <si>
    <t>NCR - DN - Sector 120 Central Market</t>
  </si>
  <si>
    <t>Item no available showing in dmb</t>
  </si>
  <si>
    <t>Marketing</t>
  </si>
  <si>
    <t>Door handle issue</t>
  </si>
  <si>
    <t>Door handle</t>
  </si>
  <si>
    <t>Rupesh Kumar Mandal .</t>
  </si>
  <si>
    <t>SPBLROPS263</t>
  </si>
  <si>
    <t>Telangana</t>
  </si>
  <si>
    <t>Hyderabad</t>
  </si>
  <si>
    <t>Manikonda</t>
  </si>
  <si>
    <t>Wait machine wire cut</t>
  </si>
  <si>
    <t>Gopiraju R ,</t>
  </si>
  <si>
    <t>Repering done</t>
  </si>
  <si>
    <t>Sujata mixie</t>
  </si>
  <si>
    <t>Local repairing done</t>
  </si>
  <si>
    <t>Sumit .</t>
  </si>
  <si>
    <t>SPDNCR646</t>
  </si>
  <si>
    <t>Cloud Store Incharge</t>
  </si>
  <si>
    <t>Dilshad Garden</t>
  </si>
  <si>
    <t>Fry not working</t>
  </si>
  <si>
    <t>For now it's replace with bhatura fryer so veg fryer issue resolved but we repair this repair also</t>
  </si>
  <si>
    <t>Non veg fryer not working</t>
  </si>
  <si>
    <t>Undercounter chiller not working</t>
  </si>
  <si>
    <t>Sujoy Mandal .</t>
  </si>
  <si>
    <t>SPDNCR477</t>
  </si>
  <si>
    <t>Sector 56</t>
  </si>
  <si>
    <t>Microoven not working</t>
  </si>
  <si>
    <t>Issues resolve</t>
  </si>
  <si>
    <t>Monu Kumar .</t>
  </si>
  <si>
    <t>SPDNCR137</t>
  </si>
  <si>
    <t>NCR - CK - Palam Vihar</t>
  </si>
  <si>
    <t>Manager</t>
  </si>
  <si>
    <t>Bhature fryer working</t>
  </si>
  <si>
    <t>Shakti Kumar Tripura .</t>
  </si>
  <si>
    <t>SPBLROPS714</t>
  </si>
  <si>
    <t>Fryer not working..siruit board not working</t>
  </si>
  <si>
    <t>Rajnish kumar ,</t>
  </si>
  <si>
    <t>SPBLROPS1266</t>
  </si>
  <si>
    <t>Koramangala</t>
  </si>
  <si>
    <t>Tea boiler jam</t>
  </si>
  <si>
    <t>Baran ,</t>
  </si>
  <si>
    <t>SPBLROPS1445</t>
  </si>
  <si>
    <t>Pallab ,</t>
  </si>
  <si>
    <t>SPBLROPS1777</t>
  </si>
  <si>
    <t>Airport Road</t>
  </si>
  <si>
    <t>Change the hanging bulb</t>
  </si>
  <si>
    <t>Changed</t>
  </si>
  <si>
    <t>Ice messing is gating noise</t>
  </si>
  <si>
    <t>Fryer plug point burning</t>
  </si>
  <si>
    <t>Samyaranjan Nayak .</t>
  </si>
  <si>
    <t>SPBLROPS56</t>
  </si>
  <si>
    <t>Dommasandra</t>
  </si>
  <si>
    <t>Fryer buttom issues please check</t>
  </si>
  <si>
    <t>Again door damage back side please check</t>
  </si>
  <si>
    <t>Ro waters issues please check</t>
  </si>
  <si>
    <t>Water coming</t>
  </si>
  <si>
    <t>Kunal .</t>
  </si>
  <si>
    <t>SPDNCR554</t>
  </si>
  <si>
    <t>Fryer and cooler</t>
  </si>
  <si>
    <t>For now interchange with bhatura fryer</t>
  </si>
  <si>
    <t>Shabina Saifi</t>
  </si>
  <si>
    <t>9599626509</t>
  </si>
  <si>
    <t>Foh Bluetooth not working we Ara unable to play music</t>
  </si>
  <si>
    <t>4 door freezer compressor need to be cleaned</t>
  </si>
  <si>
    <t>TC Palya</t>
  </si>
  <si>
    <t>Cleaning done</t>
  </si>
  <si>
    <t>Waste pipe need to be replaced</t>
  </si>
  <si>
    <t>Replaced new one</t>
  </si>
  <si>
    <t>hansraj sherwal</t>
  </si>
  <si>
    <t>9873171818</t>
  </si>
  <si>
    <t>NCR - DN- Janakpuri</t>
  </si>
  <si>
    <t>Ac water leakage</t>
  </si>
  <si>
    <t>Pradeep boiler not working</t>
  </si>
  <si>
    <t>Vicky Kumar</t>
  </si>
  <si>
    <t>8368066955</t>
  </si>
  <si>
    <t>Faridabad SEC16</t>
  </si>
  <si>
    <t>Air cooler</t>
  </si>
  <si>
    <t>4-7 Days</t>
  </si>
  <si>
    <t>Shyam Kanu Payeng .</t>
  </si>
  <si>
    <t>SPBLROPS731</t>
  </si>
  <si>
    <t>CBD</t>
  </si>
  <si>
    <t>CCTV camera is not working</t>
  </si>
  <si>
    <t>Deep freezer Not working</t>
  </si>
  <si>
    <t>Laptop not getting on</t>
  </si>
  <si>
    <t>Sushant Lok</t>
  </si>
  <si>
    <t>Rohit Kumar .</t>
  </si>
  <si>
    <t>SPDNCR372</t>
  </si>
  <si>
    <t>Laptop is not working</t>
  </si>
  <si>
    <t>Hi already ticket raise it</t>
  </si>
  <si>
    <t>Bhrigumani ,</t>
  </si>
  <si>
    <t>6033485701</t>
  </si>
  <si>
    <t>Marathalli</t>
  </si>
  <si>
    <t>RO water filter stopped working</t>
  </si>
  <si>
    <t>Filters replaced and there is low water pressure issue from building side</t>
  </si>
  <si>
    <t>Santosh kumar ,</t>
  </si>
  <si>
    <t>7894305863</t>
  </si>
  <si>
    <t>BLR - DN - Budigere</t>
  </si>
  <si>
    <t>Staff room induction not working</t>
  </si>
  <si>
    <t>A. Headline KPIs</t>
  </si>
  <si>
    <t>Metric</t>
  </si>
  <si>
    <t>Value</t>
  </si>
  <si>
    <t>Total Tickets</t>
  </si>
  <si>
    <t>Open Tickets</t>
  </si>
  <si>
    <t>Closed Tickets</t>
  </si>
  <si>
    <t>Critical Tickets</t>
  </si>
  <si>
    <t>SLA Breaches</t>
  </si>
  <si>
    <t>SLA Met</t>
  </si>
  <si>
    <t>SLA Breach %</t>
  </si>
  <si>
    <t>Average Age (days)</t>
  </si>
  <si>
    <t>Average Resolution (hrs)</t>
  </si>
  <si>
    <t>Tickets This Month</t>
  </si>
  <si>
    <t>Tickets Today</t>
  </si>
  <si>
    <t>Top Category</t>
  </si>
  <si>
    <t>Top City</t>
  </si>
  <si>
    <t>B. Issue Type Breakdown</t>
  </si>
  <si>
    <t>Total</t>
  </si>
  <si>
    <t>C. City Breakdown</t>
  </si>
  <si>
    <t>SLA Breach</t>
  </si>
  <si>
    <t>D. State Breakdown</t>
  </si>
  <si>
    <t>Tickets</t>
  </si>
  <si>
    <t>E. Severity Distribution</t>
  </si>
  <si>
    <t>F. Status Funnel</t>
  </si>
  <si>
    <t>G. Aging Buckets</t>
  </si>
  <si>
    <t>Bucket</t>
  </si>
  <si>
    <t>8-15 Days</t>
  </si>
  <si>
    <t>15+ Days</t>
  </si>
  <si>
    <t>H. Monthly Trend</t>
  </si>
  <si>
    <t>Month</t>
  </si>
  <si>
    <t>I. Daily Trend</t>
  </si>
  <si>
    <t>Day</t>
  </si>
  <si>
    <t>09-May-2026</t>
  </si>
  <si>
    <t>10-May-2026</t>
  </si>
  <si>
    <t>11-May-2026</t>
  </si>
  <si>
    <t>12-May-2026</t>
  </si>
  <si>
    <t>J. Resolver Department Performance</t>
  </si>
  <si>
    <t>Tickets Resolved</t>
  </si>
  <si>
    <t>Avg Resolution (Hrs)</t>
  </si>
  <si>
    <t>K. SLA Outcome</t>
  </si>
  <si>
    <t>L. Top 10 Oldest Open Tickets</t>
  </si>
  <si>
    <t>Title</t>
  </si>
  <si>
    <t>Ticket Analysis Dashboard</t>
  </si>
  <si>
    <t>Operational analytics  |  Snapshot 12 May 2026  |  Source: Apps.csv  |  62 tickets</t>
  </si>
  <si>
    <t>TOTAL TICKETS</t>
  </si>
  <si>
    <t>All time</t>
  </si>
  <si>
    <t>OPEN</t>
  </si>
  <si>
    <t>Awaiting resolution</t>
  </si>
  <si>
    <t>CLOSED</t>
  </si>
  <si>
    <t>Successfully resolved</t>
  </si>
  <si>
    <t>CRITICAL</t>
  </si>
  <si>
    <t>Top severity</t>
  </si>
  <si>
    <t>SLA BREACH %</t>
  </si>
  <si>
    <t>Breach / total</t>
  </si>
  <si>
    <t>AVG AGE (DAYS)</t>
  </si>
  <si>
    <t>Across all tickets</t>
  </si>
  <si>
    <t>AVG RESOLUTION (HRS)</t>
  </si>
  <si>
    <t>Closed tickets</t>
  </si>
  <si>
    <t>TICKETS THIS MONTH</t>
  </si>
  <si>
    <t>May 2026</t>
  </si>
  <si>
    <t>TICKETS TODAY</t>
  </si>
  <si>
    <t>12 May 2026</t>
  </si>
  <si>
    <t>TOP CATEGORY</t>
  </si>
  <si>
    <t>By volume</t>
  </si>
  <si>
    <t xml:space="preserve">  Visual Analytics</t>
  </si>
  <si>
    <t>Use the dropdown filters on the Raw_Data table to slice the source list. Charts are bound to Pivot_Calculations - regenerate the workbook to refresh figures from a new CSV.</t>
  </si>
  <si>
    <t>Category Analysis</t>
  </si>
  <si>
    <t>IT vs Repair &amp; Maintenance vs Marketing vs Other</t>
  </si>
  <si>
    <t xml:space="preserve">  Category KPIs</t>
  </si>
  <si>
    <t>Category</t>
  </si>
  <si>
    <t>% Share</t>
  </si>
  <si>
    <t>Department Volume</t>
  </si>
  <si>
    <t>City and State Analysis</t>
  </si>
  <si>
    <t>Geographic distribution and SLA performance per location</t>
  </si>
  <si>
    <t xml:space="preserve">  City Volume</t>
  </si>
  <si>
    <t>Aging Analysis</t>
  </si>
  <si>
    <t>Bucket distribution and the oldest open tickets</t>
  </si>
  <si>
    <t xml:space="preserve">  Aging Buckets</t>
  </si>
  <si>
    <t>% of Total</t>
  </si>
  <si>
    <t>Fresh</t>
  </si>
  <si>
    <t>Healthy</t>
  </si>
  <si>
    <t>Watch</t>
  </si>
  <si>
    <t>At Risk</t>
  </si>
  <si>
    <t xml:space="preserve">  Oldest Open Tickets</t>
  </si>
  <si>
    <t>Time Trend Analysis</t>
  </si>
  <si>
    <t>Daily and monthly volume trends</t>
  </si>
  <si>
    <t xml:space="preserve">  Monthly</t>
  </si>
  <si>
    <t xml:space="preserve">  Daily</t>
  </si>
  <si>
    <t>SLA and Resolution Performance</t>
  </si>
  <si>
    <t>SLA targets: Critical=1d, High=2d, Medium=4d, Low=7d, Unspecified=5d</t>
  </si>
  <si>
    <t xml:space="preserve">  Outcome</t>
  </si>
  <si>
    <t xml:space="preserve">  Resolver Department Performance</t>
  </si>
  <si>
    <t>Ticket Analysis Dashboard - Quick Guide</t>
  </si>
  <si>
    <t>1. What this workbook contains</t>
  </si>
  <si>
    <t xml:space="preserve">  - Dashboard          : executive KPI cards plus the main visual analytics grid.
  - Category_Analysis  : ticket volume and open/closed split per Issue Type and Department.
  - City_Analysis      : geographic distribution by City and State, plus SLA breach map.
  - Aging_Analysis     : aging buckets, % share, and the top 10 oldest open tickets.
  - Trend_Analysis     : monthly stacked-area trend and daily volume line chart.
  - SLA_Performance    : SLA met vs breach, resolver department performance heatmap.
  - Pivot_Calculations : every aggregation that drives the charts (formula-driven).
  - Raw_Data           : the source ticket list as a fully filterable Excel Table named 'Tickets'.</t>
  </si>
  <si>
    <t>2. How to filter the dashboard</t>
  </si>
  <si>
    <t>Open the Raw_Data sheet and use the column filter dropdowns on the 'Tickets' table to slice by City, Severity, Status, Department, Issue Type or any other column. The filters behave like slicers - all charts that are derived from the same underlying data update when you regenerate the workbook with a new CSV. For point-in-time slicing inside an existing session, use the AutoFilter dropdowns in the table header.</t>
  </si>
  <si>
    <t>3. SLA targets used in calculations</t>
  </si>
  <si>
    <t xml:space="preserve">  - Critical    : 1 day to close
  - High        : 2 days
  - Medium      : 4 days
  - Low         : 7 days
  - Unspecified : 5 days (default)
An open ticket whose age exceeds its target is classified as 'Breach', otherwise 'Met'. Aging is computed against the resolution timestamp for closed tickets and against the snapshot date (most recent reported timestamp in the dataset) for open tickets.</t>
  </si>
  <si>
    <t>4. How to refresh with new data</t>
  </si>
  <si>
    <t>Replace Apps.csv with a newer export from the source Google Sheet (same column layout) and re-run build_dashboard.py. The script regenerates Ticket_Analysis_Dashboard.xlsx end-to-end with all charts, KPIs and conditional formatting bound to the fresh data.</t>
  </si>
  <si>
    <t>5. Notes on advanced features</t>
  </si>
  <si>
    <t>Power Query, Power Pivot/DAX, true Slicers, Funnel/Gauge/Filled-Map charts and VBA macros are not generatable from a Python script that emits a vanilla .xlsx. To add them, open this file in Excel desktop and: (a) Insert &gt; Slicer on the 'Tickets' table for Category/City/Status; (b) Data &gt; Get Data &gt; From Text/CSV to wire Apps.csv through Power Query for auto-refresh; (c) Insert &gt; Funnel/Gauge for the Status and SLA visuals. Everything else - KPIs, charts, conditional formatting, aging, SLA logic, formula-driven pivots - is already present in this file.</t>
  </si>
  <si>
    <t>Jump to:</t>
  </si>
  <si>
    <t>-&gt; Open Dashboard</t>
  </si>
  <si>
    <t>-&gt; Open Raw_Data</t>
  </si>
  <si>
    <t>-&gt; Open Pivot_Calculations</t>
  </si>
</sst>
</file>

<file path=xl/styles.xml><?xml version="1.0" encoding="utf-8"?>
<styleSheet xmlns="http://schemas.openxmlformats.org/spreadsheetml/2006/main">
  <numFmts count="6">
    <numFmt numFmtId="164" formatCode="dd-mmm-yyyy hh:mm"/>
    <numFmt numFmtId="165" formatCode="dd-mmm-yyyy"/>
    <numFmt numFmtId="166" formatCode="#,##0.00"/>
    <numFmt numFmtId="167" formatCode="#,##0"/>
    <numFmt numFmtId="168" formatCode="0.0%"/>
    <numFmt numFmtId="169" formatCode="#,##0.0"/>
  </numFmts>
  <fonts count="15">
    <font>
      <sz val="11"/>
      <color theme="1"/>
      <name val="Calibri"/>
      <family val="2"/>
      <scheme val="minor"/>
    </font>
    <font>
      <b/>
      <sz val="11"/>
      <color rgb="FFFFFFFF"/>
      <name val="Segoe UI"/>
      <family val="2"/>
    </font>
    <font>
      <sz val="10"/>
      <color theme="1"/>
      <name val="Calibri"/>
      <family val="2"/>
      <scheme val="minor"/>
    </font>
    <font>
      <b/>
      <sz val="12"/>
      <color rgb="FF1E3A8A"/>
      <name val="Segoe UI"/>
      <family val="2"/>
    </font>
    <font>
      <b/>
      <sz val="22"/>
      <color rgb="FFE5E7EB"/>
      <name val="Segoe UI"/>
      <family val="2"/>
    </font>
    <font>
      <i/>
      <sz val="11"/>
      <color rgb="FF94A3B8"/>
      <name val="Segoe UI"/>
      <family val="2"/>
    </font>
    <font>
      <sz val="10"/>
      <color rgb="FF94A3B8"/>
      <name val="Segoe UI"/>
      <family val="2"/>
    </font>
    <font>
      <i/>
      <sz val="9"/>
      <color rgb="FF94A3B8"/>
      <name val="Segoe UI"/>
      <family val="2"/>
    </font>
    <font>
      <b/>
      <sz val="13"/>
      <color rgb="FF3FB6F9"/>
      <name val="Segoe UI"/>
      <family val="2"/>
    </font>
    <font>
      <b/>
      <sz val="11"/>
      <color rgb="FFE5E7EB"/>
      <name val="Segoe UI"/>
      <family val="2"/>
    </font>
    <font>
      <sz val="10"/>
      <color rgb="FFE5E7EB"/>
      <name val="Segoe UI"/>
      <family val="2"/>
    </font>
    <font>
      <b/>
      <sz val="20"/>
      <color rgb="FF0F172A"/>
      <name val="Segoe UI"/>
      <family val="2"/>
    </font>
    <font>
      <b/>
      <sz val="13"/>
      <color rgb="FF1E40AF"/>
      <name val="Segoe UI"/>
      <family val="2"/>
    </font>
    <font>
      <sz val="11"/>
      <color rgb="FF1F2937"/>
      <name val="Segoe UI"/>
      <family val="2"/>
    </font>
    <font>
      <b/>
      <u/>
      <sz val="11"/>
      <color rgb="FF1D4ED8"/>
      <name val="Segoe UI"/>
      <family val="2"/>
    </font>
  </fonts>
  <fills count="6">
    <fill>
      <patternFill patternType="none"/>
    </fill>
    <fill>
      <patternFill patternType="gray125"/>
    </fill>
    <fill>
      <patternFill patternType="solid">
        <fgColor rgb="FF1E3A8A"/>
        <bgColor indexed="64"/>
      </patternFill>
    </fill>
    <fill>
      <patternFill patternType="solid">
        <fgColor rgb="FF0E1726"/>
        <bgColor indexed="64"/>
      </patternFill>
    </fill>
    <fill>
      <patternFill patternType="solid">
        <fgColor rgb="FF172033"/>
        <bgColor indexed="64"/>
      </patternFill>
    </fill>
    <fill>
      <patternFill patternType="solid">
        <fgColor rgb="FF1F2A44"/>
        <bgColor indexed="64"/>
      </patternFill>
    </fill>
  </fills>
  <borders count="15">
    <border>
      <left/>
      <right/>
      <top/>
      <bottom/>
      <diagonal/>
    </border>
    <border>
      <left style="thin">
        <color rgb="FF0B1220"/>
      </left>
      <right style="thin">
        <color rgb="FF0B1220"/>
      </right>
      <top style="thin">
        <color rgb="FF0B1220"/>
      </top>
      <bottom style="thin">
        <color rgb="FF0B1220"/>
      </bottom>
      <diagonal/>
    </border>
    <border>
      <left style="thin">
        <color auto="1"/>
      </left>
      <right style="thin">
        <color auto="1"/>
      </right>
      <top style="thin">
        <color auto="1"/>
      </top>
      <bottom style="thin">
        <color auto="1"/>
      </bottom>
      <diagonal/>
    </border>
    <border>
      <left style="thin">
        <color rgb="FFE5E7EB"/>
      </left>
      <right style="thin">
        <color rgb="FFE5E7EB"/>
      </right>
      <top style="thin">
        <color rgb="FFE5E7EB"/>
      </top>
      <bottom style="thin">
        <color rgb="FFE5E7EB"/>
      </bottom>
      <diagonal/>
    </border>
    <border>
      <left style="thick">
        <color rgb="FF3FB6F9"/>
      </left>
      <right/>
      <top/>
      <bottom/>
      <diagonal/>
    </border>
    <border>
      <left style="thick">
        <color rgb="FFF59E0B"/>
      </left>
      <right/>
      <top/>
      <bottom/>
      <diagonal/>
    </border>
    <border>
      <left style="thick">
        <color rgb="FF22C55E"/>
      </left>
      <right/>
      <top/>
      <bottom/>
      <diagonal/>
    </border>
    <border>
      <left style="thick">
        <color rgb="FFEF4444"/>
      </left>
      <right/>
      <top/>
      <bottom/>
      <diagonal/>
    </border>
    <border>
      <left style="thick">
        <color rgb="FFA78BFA"/>
      </left>
      <right/>
      <top/>
      <bottom/>
      <diagonal/>
    </border>
    <border>
      <left style="thick">
        <color rgb="FF3FB6F9"/>
      </left>
      <right/>
      <top/>
      <bottom style="thin">
        <color rgb="FF1F2A44"/>
      </bottom>
      <diagonal/>
    </border>
    <border>
      <left style="thick">
        <color rgb="FFF59E0B"/>
      </left>
      <right/>
      <top/>
      <bottom style="thin">
        <color rgb="FF1F2A44"/>
      </bottom>
      <diagonal/>
    </border>
    <border>
      <left style="thick">
        <color rgb="FF22C55E"/>
      </left>
      <right/>
      <top/>
      <bottom style="thin">
        <color rgb="FF1F2A44"/>
      </bottom>
      <diagonal/>
    </border>
    <border>
      <left style="thick">
        <color rgb="FFEF4444"/>
      </left>
      <right/>
      <top/>
      <bottom style="thin">
        <color rgb="FF1F2A44"/>
      </bottom>
      <diagonal/>
    </border>
    <border>
      <left style="thick">
        <color rgb="FFA78BFA"/>
      </left>
      <right/>
      <top/>
      <bottom style="thin">
        <color rgb="FF1F2A44"/>
      </bottom>
      <diagonal/>
    </border>
    <border>
      <left/>
      <right/>
      <top/>
      <bottom style="thin">
        <color rgb="FF3FB6F9"/>
      </bottom>
      <diagonal/>
    </border>
  </borders>
  <cellStyleXfs count="1">
    <xf numFmtId="0" fontId="0" fillId="0" borderId="0"/>
  </cellStyleXfs>
  <cellXfs count="45">
    <xf numFmtId="0" fontId="0" fillId="0" borderId="0" xfId="0"/>
    <xf numFmtId="0" fontId="1" fillId="2" borderId="1" xfId="0" applyFont="1" applyFill="1" applyBorder="1" applyAlignment="1">
      <alignment horizontal="center" vertical="center" wrapText="1"/>
    </xf>
    <xf numFmtId="1" fontId="2" fillId="0" borderId="0" xfId="0" applyNumberFormat="1" applyFont="1"/>
    <xf numFmtId="164" fontId="2" fillId="0" borderId="0" xfId="0" applyNumberFormat="1" applyFont="1"/>
    <xf numFmtId="165" fontId="2" fillId="0" borderId="0" xfId="0" applyNumberFormat="1" applyFont="1"/>
    <xf numFmtId="0" fontId="2" fillId="0" borderId="0" xfId="0" applyFont="1"/>
    <xf numFmtId="166" fontId="2" fillId="0" borderId="0" xfId="0" applyNumberFormat="1" applyFont="1"/>
    <xf numFmtId="0" fontId="3" fillId="0" borderId="0" xfId="0" applyFont="1"/>
    <xf numFmtId="0" fontId="1" fillId="2" borderId="2" xfId="0" applyFont="1" applyFill="1" applyBorder="1" applyAlignment="1">
      <alignment horizontal="center" vertical="center"/>
    </xf>
    <xf numFmtId="0" fontId="2" fillId="0" borderId="3" xfId="0" applyFont="1" applyBorder="1"/>
    <xf numFmtId="167" fontId="2" fillId="0" borderId="3" xfId="0" applyNumberFormat="1" applyFont="1" applyBorder="1"/>
    <xf numFmtId="168" fontId="2" fillId="0" borderId="3" xfId="0" applyNumberFormat="1" applyFont="1" applyBorder="1"/>
    <xf numFmtId="166" fontId="2" fillId="0" borderId="3" xfId="0" applyNumberFormat="1" applyFont="1" applyBorder="1"/>
    <xf numFmtId="0" fontId="0" fillId="3" borderId="0" xfId="0" applyFill="1"/>
    <xf numFmtId="0" fontId="4" fillId="3" borderId="0" xfId="0" applyFont="1" applyFill="1" applyAlignment="1">
      <alignment horizontal="left" vertical="center"/>
    </xf>
    <xf numFmtId="0" fontId="5" fillId="3" borderId="0" xfId="0" applyFont="1" applyFill="1" applyAlignment="1">
      <alignment horizontal="left" vertical="center"/>
    </xf>
    <xf numFmtId="0" fontId="6" fillId="4" borderId="4" xfId="0" applyFont="1" applyFill="1" applyBorder="1" applyAlignment="1">
      <alignment horizontal="left" vertical="center" indent="1"/>
    </xf>
    <xf numFmtId="0" fontId="6" fillId="4" borderId="5" xfId="0" applyFont="1" applyFill="1" applyBorder="1" applyAlignment="1">
      <alignment horizontal="left" vertical="center" indent="1"/>
    </xf>
    <xf numFmtId="0" fontId="6" fillId="4" borderId="6" xfId="0" applyFont="1" applyFill="1" applyBorder="1" applyAlignment="1">
      <alignment horizontal="left" vertical="center" indent="1"/>
    </xf>
    <xf numFmtId="0" fontId="6" fillId="4" borderId="7" xfId="0" applyFont="1" applyFill="1" applyBorder="1" applyAlignment="1">
      <alignment horizontal="left" vertical="center" indent="1"/>
    </xf>
    <xf numFmtId="0" fontId="6" fillId="4" borderId="8" xfId="0" applyFont="1" applyFill="1" applyBorder="1" applyAlignment="1">
      <alignment horizontal="left" vertical="center" indent="1"/>
    </xf>
    <xf numFmtId="0" fontId="4" fillId="4" borderId="4" xfId="0" applyFont="1" applyFill="1" applyBorder="1" applyAlignment="1">
      <alignment horizontal="left" vertical="center" indent="1"/>
    </xf>
    <xf numFmtId="0" fontId="4" fillId="4" borderId="5" xfId="0" applyFont="1" applyFill="1" applyBorder="1" applyAlignment="1">
      <alignment horizontal="left" vertical="center" indent="1"/>
    </xf>
    <xf numFmtId="0" fontId="4" fillId="4" borderId="6" xfId="0" applyFont="1" applyFill="1" applyBorder="1" applyAlignment="1">
      <alignment horizontal="left" vertical="center" indent="1"/>
    </xf>
    <xf numFmtId="0" fontId="4" fillId="4" borderId="7" xfId="0" applyFont="1" applyFill="1" applyBorder="1" applyAlignment="1">
      <alignment horizontal="left" vertical="center" indent="1"/>
    </xf>
    <xf numFmtId="168" fontId="4" fillId="4" borderId="8" xfId="0" applyNumberFormat="1" applyFont="1" applyFill="1" applyBorder="1" applyAlignment="1">
      <alignment horizontal="left" vertical="center" indent="1"/>
    </xf>
    <xf numFmtId="0" fontId="7" fillId="4" borderId="9" xfId="0" applyFont="1" applyFill="1" applyBorder="1" applyAlignment="1">
      <alignment horizontal="left" vertical="center" indent="1"/>
    </xf>
    <xf numFmtId="0" fontId="7" fillId="4" borderId="10" xfId="0" applyFont="1" applyFill="1" applyBorder="1" applyAlignment="1">
      <alignment horizontal="left" vertical="center" indent="1"/>
    </xf>
    <xf numFmtId="0" fontId="7" fillId="4" borderId="11" xfId="0" applyFont="1" applyFill="1" applyBorder="1" applyAlignment="1">
      <alignment horizontal="left" vertical="center" indent="1"/>
    </xf>
    <xf numFmtId="0" fontId="7" fillId="4" borderId="12" xfId="0" applyFont="1" applyFill="1" applyBorder="1" applyAlignment="1">
      <alignment horizontal="left" vertical="center" indent="1"/>
    </xf>
    <xf numFmtId="0" fontId="7" fillId="4" borderId="13" xfId="0" applyFont="1" applyFill="1" applyBorder="1" applyAlignment="1">
      <alignment horizontal="left" vertical="center" indent="1"/>
    </xf>
    <xf numFmtId="169" fontId="4" fillId="4" borderId="4" xfId="0" applyNumberFormat="1" applyFont="1" applyFill="1" applyBorder="1" applyAlignment="1">
      <alignment horizontal="left" vertical="center" indent="1"/>
    </xf>
    <xf numFmtId="169" fontId="4" fillId="4" borderId="6" xfId="0" applyNumberFormat="1" applyFont="1" applyFill="1" applyBorder="1" applyAlignment="1">
      <alignment horizontal="left" vertical="center" indent="1"/>
    </xf>
    <xf numFmtId="0" fontId="4" fillId="4" borderId="8" xfId="0" applyFont="1" applyFill="1" applyBorder="1" applyAlignment="1">
      <alignment horizontal="left" vertical="center" indent="1"/>
    </xf>
    <xf numFmtId="0" fontId="8" fillId="3" borderId="14" xfId="0" applyFont="1" applyFill="1" applyBorder="1" applyAlignment="1">
      <alignment horizontal="left" vertical="center"/>
    </xf>
    <xf numFmtId="0" fontId="7" fillId="3" borderId="0" xfId="0" applyFont="1" applyFill="1" applyAlignment="1">
      <alignment horizontal="center"/>
    </xf>
    <xf numFmtId="0" fontId="9" fillId="5" borderId="0" xfId="0" applyFont="1" applyFill="1" applyAlignment="1">
      <alignment horizontal="left" vertical="center" indent="1"/>
    </xf>
    <xf numFmtId="0" fontId="10" fillId="4" borderId="0" xfId="0" applyFont="1" applyFill="1" applyAlignment="1">
      <alignment horizontal="left" vertical="center" indent="1"/>
    </xf>
    <xf numFmtId="167" fontId="10" fillId="4" borderId="0" xfId="0" applyNumberFormat="1" applyFont="1" applyFill="1" applyAlignment="1">
      <alignment horizontal="right" vertical="center" indent="1"/>
    </xf>
    <xf numFmtId="168" fontId="10" fillId="4" borderId="0" xfId="0" applyNumberFormat="1" applyFont="1" applyFill="1" applyAlignment="1">
      <alignment horizontal="right" vertical="center" indent="1"/>
    </xf>
    <xf numFmtId="166" fontId="10" fillId="4" borderId="0" xfId="0" applyNumberFormat="1" applyFont="1" applyFill="1" applyAlignment="1">
      <alignment horizontal="right" vertical="center" indent="1"/>
    </xf>
    <xf numFmtId="0" fontId="11" fillId="0" borderId="0" xfId="0" applyFont="1"/>
    <xf numFmtId="0" fontId="12" fillId="0" borderId="0" xfId="0" applyFont="1"/>
    <xf numFmtId="0" fontId="13" fillId="0" borderId="0" xfId="0" applyFont="1" applyAlignment="1">
      <alignment vertical="top" wrapText="1"/>
    </xf>
    <xf numFmtId="0" fontId="14" fillId="0" borderId="0" xfId="0" applyFont="1"/>
  </cellXfs>
  <cellStyles count="1">
    <cellStyle name="Normal" xfId="0" builtinId="0"/>
  </cellStyles>
  <dxfs count="5">
    <dxf>
      <font>
        <b/>
        <color rgb="FF991B1B"/>
      </font>
      <fill>
        <patternFill>
          <bgColor rgb="FFFEE2E2"/>
        </patternFill>
      </fill>
    </dxf>
    <dxf>
      <font>
        <color rgb="FF166534"/>
      </font>
      <fill>
        <patternFill>
          <bgColor rgb="FFDCFCE7"/>
        </patternFill>
      </fill>
    </dxf>
    <dxf>
      <font>
        <color rgb="FF991B1B"/>
      </font>
      <fill>
        <patternFill>
          <bgColor rgb="FFFEE2E2"/>
        </patternFill>
      </fill>
    </dxf>
    <dxf>
      <font>
        <color rgb="FF9A3412"/>
      </font>
      <fill>
        <patternFill>
          <bgColor rgb="FFFFEDD5"/>
        </patternFill>
      </fill>
    </dxf>
    <dxf>
      <font>
        <color rgb="FF854D0E"/>
      </font>
      <fill>
        <patternFill>
          <bgColor rgb="FFFEF9C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sz="1300" b="1" baseline="0">
                <a:solidFill>
                  <a:srgbClr val="E5E7EB"/>
                </a:solidFill>
                <a:latin typeface="Segoe UI"/>
              </a:defRPr>
            </a:pPr>
            <a:r>
              <a:rPr lang="en-US" sz="1300" b="1" baseline="0">
                <a:solidFill>
                  <a:srgbClr val="E5E7EB"/>
                </a:solidFill>
                <a:latin typeface="Segoe UI"/>
              </a:rPr>
              <a:t>Tickets by Category</a:t>
            </a:r>
          </a:p>
        </c:rich>
      </c:tx>
      <c:layout/>
    </c:title>
    <c:plotArea>
      <c:layout/>
      <c:doughnutChart>
        <c:varyColors val="1"/>
        <c:ser>
          <c:idx val="0"/>
          <c:order val="0"/>
          <c:tx>
            <c:v>Tickets by Issue Type</c:v>
          </c:tx>
          <c:dPt>
            <c:idx val="0"/>
            <c:spPr>
              <a:solidFill>
                <a:srgbClr val="3FB6F9"/>
              </a:solidFill>
            </c:spPr>
          </c:dPt>
          <c:dPt>
            <c:idx val="1"/>
            <c:spPr>
              <a:solidFill>
                <a:srgbClr val="22C55E"/>
              </a:solidFill>
            </c:spPr>
          </c:dPt>
          <c:dPt>
            <c:idx val="2"/>
            <c:spPr>
              <a:solidFill>
                <a:srgbClr val="F59E0B"/>
              </a:solidFill>
            </c:spPr>
          </c:dPt>
          <c:dPt>
            <c:idx val="3"/>
            <c:spPr>
              <a:solidFill>
                <a:srgbClr val="EF4444"/>
              </a:solidFill>
            </c:spPr>
          </c:dPt>
          <c:dPt>
            <c:idx val="4"/>
            <c:spPr>
              <a:solidFill>
                <a:srgbClr val="A78BFA"/>
              </a:solidFill>
            </c:spPr>
          </c:dPt>
          <c:dLbls>
            <c:txPr>
              <a:bodyPr/>
              <a:lstStyle/>
              <a:p>
                <a:pPr>
                  <a:defRPr b="1" baseline="0">
                    <a:solidFill>
                      <a:srgbClr val="FFFFFF"/>
                    </a:solidFill>
                  </a:defRPr>
                </a:pPr>
                <a:endParaRPr lang="en-US"/>
              </a:p>
            </c:txPr>
            <c:showVal val="1"/>
            <c:showPercent val="1"/>
          </c:dLbls>
          <c:cat>
            <c:strRef>
              <c:f>Pivot_Calculations!$A$19:$A$21</c:f>
              <c:strCache>
                <c:ptCount val="3"/>
                <c:pt idx="0">
                  <c:v>IT</c:v>
                </c:pt>
                <c:pt idx="1">
                  <c:v>Marketing</c:v>
                </c:pt>
                <c:pt idx="2">
                  <c:v>Repair and Maintenance</c:v>
                </c:pt>
              </c:strCache>
            </c:strRef>
          </c:cat>
          <c:val>
            <c:numRef>
              <c:f>Pivot_Calculations!$B$19:$B$21</c:f>
              <c:numCache>
                <c:formatCode>General</c:formatCode>
                <c:ptCount val="3"/>
                <c:pt idx="0">
                  <c:v>9</c:v>
                </c:pt>
                <c:pt idx="1">
                  <c:v>1</c:v>
                </c:pt>
                <c:pt idx="2">
                  <c:v>52</c:v>
                </c:pt>
              </c:numCache>
            </c:numRef>
          </c:val>
        </c:ser>
        <c:firstSliceAng val="20"/>
        <c:holeSize val="50"/>
      </c:doughnutChart>
      <c:spPr>
        <a:solidFill>
          <a:srgbClr val="172033"/>
        </a:solidFill>
        <a:ln>
          <a:noFill/>
        </a:ln>
      </c:spPr>
    </c:plotArea>
    <c:legend>
      <c:legendPos val="b"/>
      <c:layout/>
      <c:txPr>
        <a:bodyPr/>
        <a:lstStyle/>
        <a:p>
          <a:pPr rtl="0">
            <a:defRPr sz="1000" baseline="0">
              <a:solidFill>
                <a:srgbClr val="E5E7EB"/>
              </a:solidFill>
              <a:latin typeface="Segoe UI"/>
            </a:defRPr>
          </a:pPr>
          <a:endParaRPr lang="en-US"/>
        </a:p>
      </c:txPr>
    </c:legend>
    <c:plotVisOnly val="1"/>
  </c:chart>
  <c:spPr>
    <a:solidFill>
      <a:srgbClr val="0E1726"/>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1" baseline="0">
                <a:solidFill>
                  <a:srgbClr val="E5E7EB"/>
                </a:solidFill>
                <a:latin typeface="Segoe UI"/>
              </a:defRPr>
            </a:pPr>
            <a:r>
              <a:rPr lang="en-US" sz="1300" b="1" baseline="0">
                <a:solidFill>
                  <a:srgbClr val="E5E7EB"/>
                </a:solidFill>
                <a:latin typeface="Segoe UI"/>
              </a:rPr>
              <a:t>Open vs Closed (Status)</a:t>
            </a:r>
          </a:p>
        </c:rich>
      </c:tx>
      <c:layout/>
    </c:title>
    <c:plotArea>
      <c:layout/>
      <c:pieChart>
        <c:varyColors val="1"/>
        <c:ser>
          <c:idx val="0"/>
          <c:order val="0"/>
          <c:tx>
            <c:v>Status</c:v>
          </c:tx>
          <c:dPt>
            <c:idx val="0"/>
            <c:spPr>
              <a:solidFill>
                <a:srgbClr val="F59E0B"/>
              </a:solidFill>
            </c:spPr>
          </c:dPt>
          <c:dPt>
            <c:idx val="1"/>
            <c:spPr>
              <a:solidFill>
                <a:srgbClr val="22C55E"/>
              </a:solidFill>
            </c:spPr>
          </c:dPt>
          <c:dPt>
            <c:idx val="2"/>
            <c:spPr>
              <a:solidFill>
                <a:srgbClr val="EF4444"/>
              </a:solidFill>
            </c:spPr>
          </c:dPt>
          <c:dPt>
            <c:idx val="3"/>
            <c:spPr>
              <a:solidFill>
                <a:srgbClr val="A78BFA"/>
              </a:solidFill>
            </c:spPr>
          </c:dPt>
          <c:dLbls>
            <c:txPr>
              <a:bodyPr/>
              <a:lstStyle/>
              <a:p>
                <a:pPr>
                  <a:defRPr b="1" baseline="0">
                    <a:solidFill>
                      <a:srgbClr val="FFFFFF"/>
                    </a:solidFill>
                  </a:defRPr>
                </a:pPr>
                <a:endParaRPr lang="en-US"/>
              </a:p>
            </c:txPr>
            <c:showVal val="1"/>
            <c:showCatName val="1"/>
          </c:dLbls>
          <c:cat>
            <c:strRef>
              <c:f>Pivot_Calculations!$A$48:$A$49</c:f>
              <c:strCache>
                <c:ptCount val="2"/>
                <c:pt idx="0">
                  <c:v>Closed</c:v>
                </c:pt>
                <c:pt idx="1">
                  <c:v>Open</c:v>
                </c:pt>
              </c:strCache>
            </c:strRef>
          </c:cat>
          <c:val>
            <c:numRef>
              <c:f>Pivot_Calculations!$B$48:$B$49</c:f>
              <c:numCache>
                <c:formatCode>General</c:formatCode>
                <c:ptCount val="2"/>
                <c:pt idx="0">
                  <c:v>40</c:v>
                </c:pt>
                <c:pt idx="1">
                  <c:v>22</c:v>
                </c:pt>
              </c:numCache>
            </c:numRef>
          </c:val>
        </c:ser>
        <c:firstSliceAng val="0"/>
      </c:pieChart>
      <c:spPr>
        <a:solidFill>
          <a:srgbClr val="172033"/>
        </a:solidFill>
        <a:ln>
          <a:noFill/>
        </a:ln>
      </c:spPr>
    </c:plotArea>
    <c:legend>
      <c:legendPos val="b"/>
      <c:layout/>
      <c:txPr>
        <a:bodyPr/>
        <a:lstStyle/>
        <a:p>
          <a:pPr rtl="0">
            <a:defRPr sz="1000" baseline="0">
              <a:solidFill>
                <a:srgbClr val="E5E7EB"/>
              </a:solidFill>
              <a:latin typeface="Segoe UI"/>
            </a:defRPr>
          </a:pPr>
          <a:endParaRPr lang="en-US"/>
        </a:p>
      </c:txPr>
    </c:legend>
    <c:plotVisOnly val="1"/>
  </c:chart>
  <c:spPr>
    <a:solidFill>
      <a:srgbClr val="0E1726"/>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1" baseline="0">
                <a:solidFill>
                  <a:srgbClr val="E5E7EB"/>
                </a:solidFill>
                <a:latin typeface="Segoe UI"/>
              </a:defRPr>
            </a:pPr>
            <a:r>
              <a:rPr lang="en-US" sz="1300" b="1" baseline="0">
                <a:solidFill>
                  <a:srgbClr val="E5E7EB"/>
                </a:solidFill>
                <a:latin typeface="Segoe UI"/>
              </a:rPr>
              <a:t>Severity vs SLA Breach</a:t>
            </a:r>
          </a:p>
        </c:rich>
      </c:tx>
      <c:layout/>
    </c:title>
    <c:plotArea>
      <c:layout/>
      <c:barChart>
        <c:barDir val="col"/>
        <c:grouping val="clustered"/>
        <c:ser>
          <c:idx val="0"/>
          <c:order val="0"/>
          <c:tx>
            <c:v>Tickets</c:v>
          </c:tx>
          <c:spPr>
            <a:solidFill>
              <a:srgbClr val="3FB6F9"/>
            </a:solidFill>
            <a:ln>
              <a:solidFill>
                <a:srgbClr val="3FB6F9"/>
              </a:solidFill>
            </a:ln>
          </c:spPr>
          <c:dLbls>
            <c:txPr>
              <a:bodyPr/>
              <a:lstStyle/>
              <a:p>
                <a:pPr>
                  <a:defRPr b="1" baseline="0">
                    <a:solidFill>
                      <a:srgbClr val="FFFFFF"/>
                    </a:solidFill>
                  </a:defRPr>
                </a:pPr>
                <a:endParaRPr lang="en-US"/>
              </a:p>
            </c:txPr>
            <c:showVal val="1"/>
          </c:dLbls>
          <c:cat>
            <c:strRef>
              <c:f>Pivot_Calculations!$A$40:$A$44</c:f>
              <c:strCache>
                <c:ptCount val="5"/>
                <c:pt idx="0">
                  <c:v>Critical</c:v>
                </c:pt>
                <c:pt idx="1">
                  <c:v>High</c:v>
                </c:pt>
                <c:pt idx="2">
                  <c:v>Medium</c:v>
                </c:pt>
                <c:pt idx="3">
                  <c:v>Low</c:v>
                </c:pt>
                <c:pt idx="4">
                  <c:v>Unspecified</c:v>
                </c:pt>
              </c:strCache>
            </c:strRef>
          </c:cat>
          <c:val>
            <c:numRef>
              <c:f>Pivot_Calculations!$B$40:$B$44</c:f>
              <c:numCache>
                <c:formatCode>General</c:formatCode>
                <c:ptCount val="5"/>
                <c:pt idx="0">
                  <c:v>21</c:v>
                </c:pt>
                <c:pt idx="1">
                  <c:v>18</c:v>
                </c:pt>
                <c:pt idx="2">
                  <c:v>7</c:v>
                </c:pt>
                <c:pt idx="3">
                  <c:v>8</c:v>
                </c:pt>
                <c:pt idx="4">
                  <c:v>8</c:v>
                </c:pt>
              </c:numCache>
            </c:numRef>
          </c:val>
        </c:ser>
        <c:ser>
          <c:idx val="1"/>
          <c:order val="1"/>
          <c:tx>
            <c:v>SLA Breach</c:v>
          </c:tx>
          <c:spPr>
            <a:solidFill>
              <a:srgbClr val="EF4444"/>
            </a:solidFill>
            <a:ln>
              <a:solidFill>
                <a:srgbClr val="EF4444"/>
              </a:solidFill>
            </a:ln>
          </c:spPr>
          <c:cat>
            <c:strRef>
              <c:f>Pivot_Calculations!$A$40:$A$44</c:f>
              <c:strCache>
                <c:ptCount val="5"/>
                <c:pt idx="0">
                  <c:v>Critical</c:v>
                </c:pt>
                <c:pt idx="1">
                  <c:v>High</c:v>
                </c:pt>
                <c:pt idx="2">
                  <c:v>Medium</c:v>
                </c:pt>
                <c:pt idx="3">
                  <c:v>Low</c:v>
                </c:pt>
                <c:pt idx="4">
                  <c:v>Unspecified</c:v>
                </c:pt>
              </c:strCache>
            </c:strRef>
          </c:cat>
          <c:val>
            <c:numRef>
              <c:f>Pivot_Calculations!$C$40:$C$44</c:f>
              <c:numCache>
                <c:formatCode>General</c:formatCode>
                <c:ptCount val="5"/>
                <c:pt idx="0">
                  <c:v>6</c:v>
                </c:pt>
                <c:pt idx="1">
                  <c:v>1</c:v>
                </c:pt>
                <c:pt idx="2">
                  <c:v>0</c:v>
                </c:pt>
                <c:pt idx="3">
                  <c:v>0</c:v>
                </c:pt>
                <c:pt idx="4">
                  <c:v>0</c:v>
                </c:pt>
              </c:numCache>
            </c:numRef>
          </c:val>
        </c:ser>
        <c:axId val="50030001"/>
        <c:axId val="50030002"/>
      </c:barChart>
      <c:catAx>
        <c:axId val="50030001"/>
        <c:scaling>
          <c:orientation val="minMax"/>
        </c:scaling>
        <c:axPos val="b"/>
        <c:tickLblPos val="nextTo"/>
        <c:spPr>
          <a:ln>
            <a:solidFill>
              <a:srgbClr val="334155"/>
            </a:solidFill>
          </a:ln>
        </c:spPr>
        <c:txPr>
          <a:bodyPr/>
          <a:lstStyle/>
          <a:p>
            <a:pPr>
              <a:defRPr sz="900" baseline="0">
                <a:solidFill>
                  <a:srgbClr val="94A3B8"/>
                </a:solidFill>
                <a:latin typeface="Segoe UI"/>
              </a:defRPr>
            </a:pPr>
            <a:endParaRPr lang="en-US"/>
          </a:p>
        </c:txPr>
        <c:crossAx val="50030002"/>
        <c:crosses val="autoZero"/>
        <c:auto val="1"/>
        <c:lblAlgn val="ctr"/>
        <c:lblOffset val="100"/>
      </c:catAx>
      <c:valAx>
        <c:axId val="50030002"/>
        <c:scaling>
          <c:orientation val="minMax"/>
        </c:scaling>
        <c:axPos val="l"/>
        <c:majorGridlines>
          <c:spPr>
            <a:ln>
              <a:solidFill>
                <a:srgbClr val="1E293B"/>
              </a:solidFill>
            </a:ln>
          </c:spPr>
        </c:majorGridlines>
        <c:numFmt formatCode="General" sourceLinked="1"/>
        <c:tickLblPos val="nextTo"/>
        <c:spPr>
          <a:ln>
            <a:solidFill>
              <a:srgbClr val="334155"/>
            </a:solidFill>
          </a:ln>
        </c:spPr>
        <c:txPr>
          <a:bodyPr/>
          <a:lstStyle/>
          <a:p>
            <a:pPr>
              <a:defRPr sz="900" baseline="0">
                <a:solidFill>
                  <a:srgbClr val="94A3B8"/>
                </a:solidFill>
                <a:latin typeface="Segoe UI"/>
              </a:defRPr>
            </a:pPr>
            <a:endParaRPr lang="en-US"/>
          </a:p>
        </c:txPr>
        <c:crossAx val="50030001"/>
        <c:crosses val="autoZero"/>
        <c:crossBetween val="between"/>
      </c:valAx>
      <c:spPr>
        <a:solidFill>
          <a:srgbClr val="172033"/>
        </a:solidFill>
        <a:ln>
          <a:noFill/>
        </a:ln>
      </c:spPr>
    </c:plotArea>
    <c:legend>
      <c:legendPos val="b"/>
      <c:layout/>
      <c:txPr>
        <a:bodyPr/>
        <a:lstStyle/>
        <a:p>
          <a:pPr>
            <a:defRPr sz="1000" baseline="0">
              <a:solidFill>
                <a:srgbClr val="E5E7EB"/>
              </a:solidFill>
              <a:latin typeface="Segoe UI"/>
            </a:defRPr>
          </a:pPr>
          <a:endParaRPr lang="en-US"/>
        </a:p>
      </c:txPr>
    </c:legend>
    <c:plotVisOnly val="1"/>
  </c:chart>
  <c:spPr>
    <a:solidFill>
      <a:srgbClr val="0E1726"/>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1" baseline="0">
                <a:solidFill>
                  <a:srgbClr val="E5E7EB"/>
                </a:solidFill>
                <a:latin typeface="Segoe UI"/>
              </a:defRPr>
            </a:pPr>
            <a:r>
              <a:rPr lang="en-US" sz="1300" b="1" baseline="0">
                <a:solidFill>
                  <a:srgbClr val="E5E7EB"/>
                </a:solidFill>
                <a:latin typeface="Segoe UI"/>
              </a:rPr>
              <a:t>Tickets by City</a:t>
            </a:r>
          </a:p>
        </c:rich>
      </c:tx>
      <c:layout/>
    </c:title>
    <c:plotArea>
      <c:layout/>
      <c:barChart>
        <c:barDir val="bar"/>
        <c:grouping val="clustered"/>
        <c:ser>
          <c:idx val="0"/>
          <c:order val="0"/>
          <c:tx>
            <c:v>Total</c:v>
          </c:tx>
          <c:spPr>
            <a:solidFill>
              <a:srgbClr val="3FB6F9"/>
            </a:solidFill>
            <a:ln>
              <a:solidFill>
                <a:srgbClr val="3FB6F9"/>
              </a:solidFill>
            </a:ln>
          </c:spPr>
          <c:dLbls>
            <c:txPr>
              <a:bodyPr/>
              <a:lstStyle/>
              <a:p>
                <a:pPr>
                  <a:defRPr baseline="0">
                    <a:solidFill>
                      <a:srgbClr val="FFFFFF"/>
                    </a:solidFill>
                  </a:defRPr>
                </a:pPr>
                <a:endParaRPr lang="en-US"/>
              </a:p>
            </c:txPr>
            <c:showVal val="1"/>
          </c:dLbls>
          <c:cat>
            <c:strRef>
              <c:f>Pivot_Calculations!$A$25:$A$30</c:f>
              <c:strCache>
                <c:ptCount val="6"/>
                <c:pt idx="0">
                  <c:v>Bangalore</c:v>
                </c:pt>
                <c:pt idx="1">
                  <c:v>Gurgaon</c:v>
                </c:pt>
                <c:pt idx="2">
                  <c:v>Delhi</c:v>
                </c:pt>
                <c:pt idx="3">
                  <c:v>Hyderabad</c:v>
                </c:pt>
                <c:pt idx="4">
                  <c:v>Ghaziabad</c:v>
                </c:pt>
                <c:pt idx="5">
                  <c:v>Greater Noida</c:v>
                </c:pt>
              </c:strCache>
            </c:strRef>
          </c:cat>
          <c:val>
            <c:numRef>
              <c:f>Pivot_Calculations!$B$25:$B$30</c:f>
              <c:numCache>
                <c:formatCode>General</c:formatCode>
                <c:ptCount val="6"/>
                <c:pt idx="0">
                  <c:v>47</c:v>
                </c:pt>
                <c:pt idx="1">
                  <c:v>6</c:v>
                </c:pt>
                <c:pt idx="2">
                  <c:v>5</c:v>
                </c:pt>
                <c:pt idx="3">
                  <c:v>2</c:v>
                </c:pt>
                <c:pt idx="4">
                  <c:v>1</c:v>
                </c:pt>
                <c:pt idx="5">
                  <c:v>1</c:v>
                </c:pt>
              </c:numCache>
            </c:numRef>
          </c:val>
        </c:ser>
        <c:axId val="50040001"/>
        <c:axId val="50040002"/>
      </c:barChart>
      <c:catAx>
        <c:axId val="50040001"/>
        <c:scaling>
          <c:orientation val="minMax"/>
        </c:scaling>
        <c:axPos val="l"/>
        <c:majorGridlines>
          <c:spPr>
            <a:ln>
              <a:solidFill>
                <a:srgbClr val="1E293B"/>
              </a:solidFill>
            </a:ln>
          </c:spPr>
        </c:majorGridlines>
        <c:title>
          <c:tx>
            <c:rich>
              <a:bodyPr rot="-5400000" vert="horz"/>
              <a:lstStyle/>
              <a:p>
                <a:pPr>
                  <a:defRPr sz="1000" baseline="0">
                    <a:solidFill>
                      <a:srgbClr val="94A3B8"/>
                    </a:solidFill>
                    <a:latin typeface="Segoe UI"/>
                  </a:defRPr>
                </a:pPr>
                <a:r>
                  <a:rPr lang="en-US" sz="1000" baseline="0">
                    <a:solidFill>
                      <a:srgbClr val="94A3B8"/>
                    </a:solidFill>
                    <a:latin typeface="Segoe UI"/>
                  </a:rPr>
                  <a:t>City</a:t>
                </a:r>
              </a:p>
            </c:rich>
          </c:tx>
          <c:layout/>
        </c:title>
        <c:tickLblPos val="nextTo"/>
        <c:spPr>
          <a:ln>
            <a:solidFill>
              <a:srgbClr val="334155"/>
            </a:solidFill>
          </a:ln>
        </c:spPr>
        <c:txPr>
          <a:bodyPr/>
          <a:lstStyle/>
          <a:p>
            <a:pPr>
              <a:defRPr sz="900" baseline="0">
                <a:solidFill>
                  <a:srgbClr val="94A3B8"/>
                </a:solidFill>
                <a:latin typeface="Segoe UI"/>
              </a:defRPr>
            </a:pPr>
            <a:endParaRPr lang="en-US"/>
          </a:p>
        </c:txPr>
        <c:crossAx val="50040002"/>
        <c:crosses val="autoZero"/>
        <c:auto val="1"/>
        <c:lblAlgn val="ctr"/>
        <c:lblOffset val="100"/>
      </c:catAx>
      <c:valAx>
        <c:axId val="50040002"/>
        <c:scaling>
          <c:orientation val="minMax"/>
        </c:scaling>
        <c:axPos val="b"/>
        <c:title>
          <c:tx>
            <c:rich>
              <a:bodyPr/>
              <a:lstStyle/>
              <a:p>
                <a:pPr>
                  <a:defRPr sz="1000" baseline="0">
                    <a:solidFill>
                      <a:srgbClr val="94A3B8"/>
                    </a:solidFill>
                    <a:latin typeface="Segoe UI"/>
                  </a:defRPr>
                </a:pPr>
                <a:r>
                  <a:rPr lang="en-US" sz="1000" baseline="0">
                    <a:solidFill>
                      <a:srgbClr val="94A3B8"/>
                    </a:solidFill>
                    <a:latin typeface="Segoe UI"/>
                  </a:rPr>
                  <a:t>Tickets</a:t>
                </a:r>
              </a:p>
            </c:rich>
          </c:tx>
          <c:layout/>
        </c:title>
        <c:numFmt formatCode="General" sourceLinked="1"/>
        <c:tickLblPos val="nextTo"/>
        <c:spPr>
          <a:ln>
            <a:solidFill>
              <a:srgbClr val="334155"/>
            </a:solidFill>
          </a:ln>
        </c:spPr>
        <c:txPr>
          <a:bodyPr/>
          <a:lstStyle/>
          <a:p>
            <a:pPr>
              <a:defRPr sz="900" baseline="0">
                <a:solidFill>
                  <a:srgbClr val="94A3B8"/>
                </a:solidFill>
                <a:latin typeface="Segoe UI"/>
              </a:defRPr>
            </a:pPr>
            <a:endParaRPr lang="en-US"/>
          </a:p>
        </c:txPr>
        <c:crossAx val="50040001"/>
        <c:crosses val="autoZero"/>
        <c:crossBetween val="between"/>
      </c:valAx>
      <c:spPr>
        <a:solidFill>
          <a:srgbClr val="172033"/>
        </a:solidFill>
        <a:ln>
          <a:noFill/>
        </a:ln>
      </c:spPr>
    </c:plotArea>
    <c:legend>
      <c:legendPos val="b"/>
      <c:layout/>
      <c:txPr>
        <a:bodyPr/>
        <a:lstStyle/>
        <a:p>
          <a:pPr>
            <a:defRPr sz="1000" baseline="0">
              <a:solidFill>
                <a:srgbClr val="E5E7EB"/>
              </a:solidFill>
              <a:latin typeface="Segoe UI"/>
            </a:defRPr>
          </a:pPr>
          <a:endParaRPr lang="en-US"/>
        </a:p>
      </c:txPr>
    </c:legend>
    <c:plotVisOnly val="1"/>
  </c:chart>
  <c:spPr>
    <a:solidFill>
      <a:srgbClr val="0E1726"/>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1" baseline="0">
                <a:solidFill>
                  <a:srgbClr val="E5E7EB"/>
                </a:solidFill>
                <a:latin typeface="Segoe UI"/>
              </a:defRPr>
            </a:pPr>
            <a:r>
              <a:rPr lang="en-US" sz="1300" b="1" baseline="0">
                <a:solidFill>
                  <a:srgbClr val="E5E7EB"/>
                </a:solidFill>
                <a:latin typeface="Segoe UI"/>
              </a:rPr>
              <a:t>Ticket Aging Buckets</a:t>
            </a:r>
          </a:p>
        </c:rich>
      </c:tx>
      <c:layout/>
    </c:title>
    <c:plotArea>
      <c:layout/>
      <c:barChart>
        <c:barDir val="col"/>
        <c:grouping val="clustered"/>
        <c:ser>
          <c:idx val="0"/>
          <c:order val="0"/>
          <c:tx>
            <c:v>Tickets</c:v>
          </c:tx>
          <c:dPt>
            <c:idx val="0"/>
            <c:spPr>
              <a:solidFill>
                <a:srgbClr val="22C55E"/>
              </a:solidFill>
            </c:spPr>
          </c:dPt>
          <c:dPt>
            <c:idx val="1"/>
            <c:spPr>
              <a:solidFill>
                <a:srgbClr val="84CC16"/>
              </a:solidFill>
            </c:spPr>
          </c:dPt>
          <c:dPt>
            <c:idx val="2"/>
            <c:spPr>
              <a:solidFill>
                <a:srgbClr val="FACC15"/>
              </a:solidFill>
            </c:spPr>
          </c:dPt>
          <c:dPt>
            <c:idx val="3"/>
            <c:spPr>
              <a:solidFill>
                <a:srgbClr val="F97316"/>
              </a:solidFill>
            </c:spPr>
          </c:dPt>
          <c:dPt>
            <c:idx val="4"/>
            <c:spPr>
              <a:solidFill>
                <a:srgbClr val="EF4444"/>
              </a:solidFill>
            </c:spPr>
          </c:dPt>
          <c:dLbls>
            <c:txPr>
              <a:bodyPr/>
              <a:lstStyle/>
              <a:p>
                <a:pPr>
                  <a:defRPr b="1" baseline="0">
                    <a:solidFill>
                      <a:srgbClr val="FFFFFF"/>
                    </a:solidFill>
                  </a:defRPr>
                </a:pPr>
                <a:endParaRPr lang="en-US"/>
              </a:p>
            </c:txPr>
            <c:showVal val="1"/>
          </c:dLbls>
          <c:cat>
            <c:strRef>
              <c:f>Pivot_Calculations!$A$53:$A$57</c:f>
              <c:strCache>
                <c:ptCount val="5"/>
                <c:pt idx="0">
                  <c:v>0-1 Days</c:v>
                </c:pt>
                <c:pt idx="1">
                  <c:v>2-3 Days</c:v>
                </c:pt>
                <c:pt idx="2">
                  <c:v>4-7 Days</c:v>
                </c:pt>
                <c:pt idx="3">
                  <c:v>8-15 Days</c:v>
                </c:pt>
                <c:pt idx="4">
                  <c:v>15+ Days</c:v>
                </c:pt>
              </c:strCache>
            </c:strRef>
          </c:cat>
          <c:val>
            <c:numRef>
              <c:f>Pivot_Calculations!$B$53:$B$57</c:f>
              <c:numCache>
                <c:formatCode>General</c:formatCode>
                <c:ptCount val="5"/>
                <c:pt idx="0">
                  <c:v>38</c:v>
                </c:pt>
                <c:pt idx="1">
                  <c:v>21</c:v>
                </c:pt>
                <c:pt idx="2">
                  <c:v>3</c:v>
                </c:pt>
                <c:pt idx="3">
                  <c:v>0</c:v>
                </c:pt>
                <c:pt idx="4">
                  <c:v>0</c:v>
                </c:pt>
              </c:numCache>
            </c:numRef>
          </c:val>
        </c:ser>
        <c:axId val="50050001"/>
        <c:axId val="50050002"/>
      </c:barChart>
      <c:catAx>
        <c:axId val="50050001"/>
        <c:scaling>
          <c:orientation val="minMax"/>
        </c:scaling>
        <c:axPos val="b"/>
        <c:title>
          <c:tx>
            <c:rich>
              <a:bodyPr/>
              <a:lstStyle/>
              <a:p>
                <a:pPr>
                  <a:defRPr sz="1000" baseline="0">
                    <a:solidFill>
                      <a:srgbClr val="94A3B8"/>
                    </a:solidFill>
                    <a:latin typeface="Segoe UI"/>
                  </a:defRPr>
                </a:pPr>
                <a:r>
                  <a:rPr lang="en-US" sz="1000" baseline="0">
                    <a:solidFill>
                      <a:srgbClr val="94A3B8"/>
                    </a:solidFill>
                    <a:latin typeface="Segoe UI"/>
                  </a:rPr>
                  <a:t>Bucket</a:t>
                </a:r>
              </a:p>
            </c:rich>
          </c:tx>
          <c:layout/>
        </c:title>
        <c:tickLblPos val="nextTo"/>
        <c:spPr>
          <a:ln>
            <a:solidFill>
              <a:srgbClr val="334155"/>
            </a:solidFill>
          </a:ln>
        </c:spPr>
        <c:txPr>
          <a:bodyPr/>
          <a:lstStyle/>
          <a:p>
            <a:pPr>
              <a:defRPr sz="900" baseline="0">
                <a:solidFill>
                  <a:srgbClr val="94A3B8"/>
                </a:solidFill>
                <a:latin typeface="Segoe UI"/>
              </a:defRPr>
            </a:pPr>
            <a:endParaRPr lang="en-US"/>
          </a:p>
        </c:txPr>
        <c:crossAx val="50050002"/>
        <c:crosses val="autoZero"/>
        <c:auto val="1"/>
        <c:lblAlgn val="ctr"/>
        <c:lblOffset val="100"/>
      </c:catAx>
      <c:valAx>
        <c:axId val="50050002"/>
        <c:scaling>
          <c:orientation val="minMax"/>
        </c:scaling>
        <c:axPos val="l"/>
        <c:majorGridlines>
          <c:spPr>
            <a:ln>
              <a:solidFill>
                <a:srgbClr val="1E293B"/>
              </a:solidFill>
            </a:ln>
          </c:spPr>
        </c:majorGridlines>
        <c:title>
          <c:tx>
            <c:rich>
              <a:bodyPr/>
              <a:lstStyle/>
              <a:p>
                <a:pPr>
                  <a:defRPr sz="1000" baseline="0">
                    <a:solidFill>
                      <a:srgbClr val="94A3B8"/>
                    </a:solidFill>
                    <a:latin typeface="Segoe UI"/>
                  </a:defRPr>
                </a:pPr>
                <a:r>
                  <a:rPr lang="en-US" sz="1000" baseline="0">
                    <a:solidFill>
                      <a:srgbClr val="94A3B8"/>
                    </a:solidFill>
                    <a:latin typeface="Segoe UI"/>
                  </a:rPr>
                  <a:t>Tickets</a:t>
                </a:r>
              </a:p>
            </c:rich>
          </c:tx>
          <c:layout/>
        </c:title>
        <c:numFmt formatCode="General" sourceLinked="1"/>
        <c:tickLblPos val="nextTo"/>
        <c:spPr>
          <a:ln>
            <a:solidFill>
              <a:srgbClr val="334155"/>
            </a:solidFill>
          </a:ln>
        </c:spPr>
        <c:txPr>
          <a:bodyPr/>
          <a:lstStyle/>
          <a:p>
            <a:pPr>
              <a:defRPr sz="900" baseline="0">
                <a:solidFill>
                  <a:srgbClr val="94A3B8"/>
                </a:solidFill>
                <a:latin typeface="Segoe UI"/>
              </a:defRPr>
            </a:pPr>
            <a:endParaRPr lang="en-US"/>
          </a:p>
        </c:txPr>
        <c:crossAx val="50050001"/>
        <c:crosses val="autoZero"/>
        <c:crossBetween val="between"/>
      </c:valAx>
      <c:spPr>
        <a:solidFill>
          <a:srgbClr val="172033"/>
        </a:solidFill>
        <a:ln>
          <a:noFill/>
        </a:ln>
      </c:spPr>
    </c:plotArea>
    <c:legend>
      <c:legendPos val="b"/>
      <c:layout/>
      <c:txPr>
        <a:bodyPr/>
        <a:lstStyle/>
        <a:p>
          <a:pPr>
            <a:defRPr sz="1000" baseline="0">
              <a:solidFill>
                <a:srgbClr val="E5E7EB"/>
              </a:solidFill>
              <a:latin typeface="Segoe UI"/>
            </a:defRPr>
          </a:pPr>
          <a:endParaRPr lang="en-US"/>
        </a:p>
      </c:txPr>
    </c:legend>
    <c:plotVisOnly val="1"/>
  </c:chart>
  <c:spPr>
    <a:solidFill>
      <a:srgbClr val="0E1726"/>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1" baseline="0">
                <a:solidFill>
                  <a:srgbClr val="E5E7EB"/>
                </a:solidFill>
                <a:latin typeface="Segoe UI"/>
              </a:defRPr>
            </a:pPr>
            <a:r>
              <a:rPr lang="en-US" sz="1300" b="1" baseline="0">
                <a:solidFill>
                  <a:srgbClr val="E5E7EB"/>
                </a:solidFill>
                <a:latin typeface="Segoe UI"/>
              </a:rPr>
              <a:t>Monthly Ticket Trend</a:t>
            </a:r>
          </a:p>
        </c:rich>
      </c:tx>
      <c:layout/>
    </c:title>
    <c:plotArea>
      <c:layout/>
      <c:lineChart>
        <c:grouping val="standard"/>
        <c:ser>
          <c:idx val="0"/>
          <c:order val="0"/>
          <c:tx>
            <c:v>Total</c:v>
          </c:tx>
          <c:spPr>
            <a:ln w="31750">
              <a:solidFill>
                <a:srgbClr val="3FB6F9"/>
              </a:solidFill>
            </a:ln>
          </c:spPr>
          <c:marker>
            <c:symbol val="circle"/>
            <c:size val="7"/>
            <c:spPr>
              <a:solidFill>
                <a:srgbClr val="3FB6F9"/>
              </a:solidFill>
            </c:spPr>
          </c:marker>
          <c:dLbls>
            <c:txPr>
              <a:bodyPr/>
              <a:lstStyle/>
              <a:p>
                <a:pPr>
                  <a:defRPr baseline="0">
                    <a:solidFill>
                      <a:srgbClr val="FFFFFF"/>
                    </a:solidFill>
                  </a:defRPr>
                </a:pPr>
                <a:endParaRPr lang="en-US"/>
              </a:p>
            </c:txPr>
            <c:showVal val="1"/>
          </c:dLbls>
          <c:cat>
            <c:strRef>
              <c:f>Pivot_Calculations!$A$61</c:f>
              <c:strCache>
                <c:ptCount val="1"/>
                <c:pt idx="0">
                  <c:v>2026-05</c:v>
                </c:pt>
              </c:strCache>
            </c:strRef>
          </c:cat>
          <c:val>
            <c:numRef>
              <c:f>Pivot_Calculations!$B$61</c:f>
              <c:numCache>
                <c:formatCode>General</c:formatCode>
                <c:ptCount val="1"/>
                <c:pt idx="0">
                  <c:v>62</c:v>
                </c:pt>
              </c:numCache>
            </c:numRef>
          </c:val>
        </c:ser>
        <c:ser>
          <c:idx val="1"/>
          <c:order val="1"/>
          <c:tx>
            <c:v>Closed</c:v>
          </c:tx>
          <c:spPr>
            <a:ln w="25400">
              <a:solidFill>
                <a:srgbClr val="22C55E"/>
              </a:solidFill>
            </a:ln>
          </c:spPr>
          <c:marker>
            <c:symbol val="circle"/>
            <c:size val="6"/>
            <c:spPr>
              <a:solidFill>
                <a:srgbClr val="22C55E"/>
              </a:solidFill>
            </c:spPr>
          </c:marker>
          <c:cat>
            <c:strRef>
              <c:f>Pivot_Calculations!$A$61</c:f>
              <c:strCache>
                <c:ptCount val="1"/>
                <c:pt idx="0">
                  <c:v>2026-05</c:v>
                </c:pt>
              </c:strCache>
            </c:strRef>
          </c:cat>
          <c:val>
            <c:numRef>
              <c:f>Pivot_Calculations!$C$61</c:f>
              <c:numCache>
                <c:formatCode>General</c:formatCode>
                <c:ptCount val="1"/>
                <c:pt idx="0">
                  <c:v>40</c:v>
                </c:pt>
              </c:numCache>
            </c:numRef>
          </c:val>
        </c:ser>
        <c:ser>
          <c:idx val="2"/>
          <c:order val="2"/>
          <c:tx>
            <c:v>Open</c:v>
          </c:tx>
          <c:spPr>
            <a:ln w="25400">
              <a:solidFill>
                <a:srgbClr val="F59E0B"/>
              </a:solidFill>
            </a:ln>
          </c:spPr>
          <c:marker>
            <c:symbol val="circle"/>
            <c:size val="6"/>
            <c:spPr>
              <a:solidFill>
                <a:srgbClr val="F59E0B"/>
              </a:solidFill>
            </c:spPr>
          </c:marker>
          <c:cat>
            <c:strRef>
              <c:f>Pivot_Calculations!$A$61</c:f>
              <c:strCache>
                <c:ptCount val="1"/>
                <c:pt idx="0">
                  <c:v>2026-05</c:v>
                </c:pt>
              </c:strCache>
            </c:strRef>
          </c:cat>
          <c:val>
            <c:numRef>
              <c:f>Pivot_Calculations!$D$61</c:f>
              <c:numCache>
                <c:formatCode>General</c:formatCode>
                <c:ptCount val="1"/>
                <c:pt idx="0">
                  <c:v>22</c:v>
                </c:pt>
              </c:numCache>
            </c:numRef>
          </c:val>
        </c:ser>
        <c:marker val="1"/>
        <c:axId val="50060001"/>
        <c:axId val="50060002"/>
      </c:lineChart>
      <c:catAx>
        <c:axId val="50060001"/>
        <c:scaling>
          <c:orientation val="minMax"/>
        </c:scaling>
        <c:axPos val="b"/>
        <c:title>
          <c:tx>
            <c:rich>
              <a:bodyPr/>
              <a:lstStyle/>
              <a:p>
                <a:pPr>
                  <a:defRPr sz="1000" baseline="0">
                    <a:solidFill>
                      <a:srgbClr val="94A3B8"/>
                    </a:solidFill>
                    <a:latin typeface="Segoe UI"/>
                  </a:defRPr>
                </a:pPr>
                <a:r>
                  <a:rPr lang="en-US" sz="1000" baseline="0">
                    <a:solidFill>
                      <a:srgbClr val="94A3B8"/>
                    </a:solidFill>
                    <a:latin typeface="Segoe UI"/>
                  </a:rPr>
                  <a:t>Month</a:t>
                </a:r>
              </a:p>
            </c:rich>
          </c:tx>
          <c:layout/>
        </c:title>
        <c:tickLblPos val="nextTo"/>
        <c:spPr>
          <a:ln>
            <a:solidFill>
              <a:srgbClr val="334155"/>
            </a:solidFill>
          </a:ln>
        </c:spPr>
        <c:txPr>
          <a:bodyPr/>
          <a:lstStyle/>
          <a:p>
            <a:pPr>
              <a:defRPr sz="900" baseline="0">
                <a:solidFill>
                  <a:srgbClr val="94A3B8"/>
                </a:solidFill>
                <a:latin typeface="Segoe UI"/>
              </a:defRPr>
            </a:pPr>
            <a:endParaRPr lang="en-US"/>
          </a:p>
        </c:txPr>
        <c:crossAx val="50060002"/>
        <c:crosses val="autoZero"/>
        <c:auto val="1"/>
        <c:lblAlgn val="ctr"/>
        <c:lblOffset val="100"/>
      </c:catAx>
      <c:valAx>
        <c:axId val="50060002"/>
        <c:scaling>
          <c:orientation val="minMax"/>
        </c:scaling>
        <c:axPos val="l"/>
        <c:majorGridlines>
          <c:spPr>
            <a:ln>
              <a:solidFill>
                <a:srgbClr val="1E293B"/>
              </a:solidFill>
            </a:ln>
          </c:spPr>
        </c:majorGridlines>
        <c:title>
          <c:tx>
            <c:rich>
              <a:bodyPr rot="-5400000" vert="horz"/>
              <a:lstStyle/>
              <a:p>
                <a:pPr>
                  <a:defRPr sz="1000" baseline="0">
                    <a:solidFill>
                      <a:srgbClr val="94A3B8"/>
                    </a:solidFill>
                    <a:latin typeface="Segoe UI"/>
                  </a:defRPr>
                </a:pPr>
                <a:r>
                  <a:rPr lang="en-US" sz="1000" baseline="0">
                    <a:solidFill>
                      <a:srgbClr val="94A3B8"/>
                    </a:solidFill>
                    <a:latin typeface="Segoe UI"/>
                  </a:rPr>
                  <a:t>Tickets</a:t>
                </a:r>
              </a:p>
            </c:rich>
          </c:tx>
          <c:layout/>
        </c:title>
        <c:numFmt formatCode="General" sourceLinked="1"/>
        <c:tickLblPos val="nextTo"/>
        <c:spPr>
          <a:ln>
            <a:solidFill>
              <a:srgbClr val="334155"/>
            </a:solidFill>
          </a:ln>
        </c:spPr>
        <c:txPr>
          <a:bodyPr/>
          <a:lstStyle/>
          <a:p>
            <a:pPr>
              <a:defRPr sz="900" baseline="0">
                <a:solidFill>
                  <a:srgbClr val="94A3B8"/>
                </a:solidFill>
                <a:latin typeface="Segoe UI"/>
              </a:defRPr>
            </a:pPr>
            <a:endParaRPr lang="en-US"/>
          </a:p>
        </c:txPr>
        <c:crossAx val="50060001"/>
        <c:crosses val="autoZero"/>
        <c:crossBetween val="between"/>
      </c:valAx>
      <c:spPr>
        <a:solidFill>
          <a:srgbClr val="172033"/>
        </a:solidFill>
        <a:ln>
          <a:noFill/>
        </a:ln>
      </c:spPr>
    </c:plotArea>
    <c:legend>
      <c:legendPos val="b"/>
      <c:layout/>
      <c:txPr>
        <a:bodyPr/>
        <a:lstStyle/>
        <a:p>
          <a:pPr>
            <a:defRPr sz="1000" baseline="0">
              <a:solidFill>
                <a:srgbClr val="E5E7EB"/>
              </a:solidFill>
              <a:latin typeface="Segoe UI"/>
            </a:defRPr>
          </a:pPr>
          <a:endParaRPr lang="en-US"/>
        </a:p>
      </c:txPr>
    </c:legend>
    <c:plotVisOnly val="1"/>
  </c:chart>
  <c:spPr>
    <a:solidFill>
      <a:srgbClr val="0E1726"/>
    </a:solid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1" baseline="0">
                <a:solidFill>
                  <a:srgbClr val="E5E7EB"/>
                </a:solidFill>
                <a:latin typeface="Segoe UI"/>
              </a:defRPr>
            </a:pPr>
            <a:r>
              <a:rPr lang="en-US" sz="1300" b="1" baseline="0">
                <a:solidFill>
                  <a:srgbClr val="E5E7EB"/>
                </a:solidFill>
                <a:latin typeface="Segoe UI"/>
              </a:rPr>
              <a:t>Category Share</a:t>
            </a:r>
          </a:p>
        </c:rich>
      </c:tx>
      <c:layout/>
    </c:title>
    <c:plotArea>
      <c:layout/>
      <c:doughnutChart>
        <c:varyColors val="1"/>
        <c:ser>
          <c:idx val="0"/>
          <c:order val="0"/>
          <c:tx>
            <c:v>Issue Type</c:v>
          </c:tx>
          <c:dPt>
            <c:idx val="0"/>
            <c:spPr>
              <a:solidFill>
                <a:srgbClr val="3FB6F9"/>
              </a:solidFill>
            </c:spPr>
          </c:dPt>
          <c:dPt>
            <c:idx val="1"/>
            <c:spPr>
              <a:solidFill>
                <a:srgbClr val="22C55E"/>
              </a:solidFill>
            </c:spPr>
          </c:dPt>
          <c:dPt>
            <c:idx val="2"/>
            <c:spPr>
              <a:solidFill>
                <a:srgbClr val="F59E0B"/>
              </a:solidFill>
            </c:spPr>
          </c:dPt>
          <c:dPt>
            <c:idx val="3"/>
            <c:spPr>
              <a:solidFill>
                <a:srgbClr val="EF4444"/>
              </a:solidFill>
            </c:spPr>
          </c:dPt>
          <c:dLbls>
            <c:txPr>
              <a:bodyPr/>
              <a:lstStyle/>
              <a:p>
                <a:pPr>
                  <a:defRPr b="1" baseline="0">
                    <a:solidFill>
                      <a:srgbClr val="FFFFFF"/>
                    </a:solidFill>
                  </a:defRPr>
                </a:pPr>
                <a:endParaRPr lang="en-US"/>
              </a:p>
            </c:txPr>
            <c:showPercent val="1"/>
          </c:dLbls>
          <c:cat>
            <c:strRef>
              <c:f>Pivot_Calculations!$A$19:$A$21</c:f>
              <c:strCache>
                <c:ptCount val="3"/>
                <c:pt idx="0">
                  <c:v>IT</c:v>
                </c:pt>
                <c:pt idx="1">
                  <c:v>Marketing</c:v>
                </c:pt>
                <c:pt idx="2">
                  <c:v>Repair and Maintenance</c:v>
                </c:pt>
              </c:strCache>
            </c:strRef>
          </c:cat>
          <c:val>
            <c:numRef>
              <c:f>Pivot_Calculations!$B$19:$B$21</c:f>
              <c:numCache>
                <c:formatCode>General</c:formatCode>
                <c:ptCount val="3"/>
                <c:pt idx="0">
                  <c:v>9</c:v>
                </c:pt>
                <c:pt idx="1">
                  <c:v>1</c:v>
                </c:pt>
                <c:pt idx="2">
                  <c:v>52</c:v>
                </c:pt>
              </c:numCache>
            </c:numRef>
          </c:val>
        </c:ser>
        <c:firstSliceAng val="0"/>
        <c:holeSize val="50"/>
      </c:doughnutChart>
      <c:spPr>
        <a:solidFill>
          <a:srgbClr val="172033"/>
        </a:solidFill>
        <a:ln>
          <a:noFill/>
        </a:ln>
      </c:spPr>
    </c:plotArea>
    <c:legend>
      <c:legendPos val="b"/>
      <c:layout/>
      <c:txPr>
        <a:bodyPr/>
        <a:lstStyle/>
        <a:p>
          <a:pPr rtl="0">
            <a:defRPr sz="1000" baseline="0">
              <a:solidFill>
                <a:srgbClr val="E5E7EB"/>
              </a:solidFill>
              <a:latin typeface="Segoe UI"/>
            </a:defRPr>
          </a:pPr>
          <a:endParaRPr lang="en-US"/>
        </a:p>
      </c:txPr>
    </c:legend>
    <c:plotVisOnly val="1"/>
  </c:chart>
  <c:spPr>
    <a:solidFill>
      <a:srgbClr val="0E1726"/>
    </a:solid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1" baseline="0">
                <a:solidFill>
                  <a:srgbClr val="E5E7EB"/>
                </a:solidFill>
                <a:latin typeface="Segoe UI"/>
              </a:defRPr>
            </a:pPr>
            <a:r>
              <a:rPr lang="en-US" sz="1300" b="1" baseline="0">
                <a:solidFill>
                  <a:srgbClr val="E5E7EB"/>
                </a:solidFill>
                <a:latin typeface="Segoe UI"/>
              </a:rPr>
              <a:t>Open vs Closed by Category</a:t>
            </a:r>
          </a:p>
        </c:rich>
      </c:tx>
      <c:layout/>
    </c:title>
    <c:plotArea>
      <c:layout/>
      <c:barChart>
        <c:barDir val="col"/>
        <c:grouping val="stacked"/>
        <c:ser>
          <c:idx val="0"/>
          <c:order val="0"/>
          <c:tx>
            <c:v>Open</c:v>
          </c:tx>
          <c:spPr>
            <a:solidFill>
              <a:srgbClr val="F59E0B"/>
            </a:solidFill>
          </c:spPr>
          <c:dLbls>
            <c:txPr>
              <a:bodyPr/>
              <a:lstStyle/>
              <a:p>
                <a:pPr>
                  <a:defRPr baseline="0">
                    <a:solidFill>
                      <a:srgbClr val="FFFFFF"/>
                    </a:solidFill>
                  </a:defRPr>
                </a:pPr>
                <a:endParaRPr lang="en-US"/>
              </a:p>
            </c:txPr>
            <c:showVal val="1"/>
          </c:dLbls>
          <c:cat>
            <c:strRef>
              <c:f>Pivot_Calculations!$A$19:$A$21</c:f>
              <c:strCache>
                <c:ptCount val="3"/>
                <c:pt idx="0">
                  <c:v>IT</c:v>
                </c:pt>
                <c:pt idx="1">
                  <c:v>Marketing</c:v>
                </c:pt>
                <c:pt idx="2">
                  <c:v>Repair and Maintenance</c:v>
                </c:pt>
              </c:strCache>
            </c:strRef>
          </c:cat>
          <c:val>
            <c:numRef>
              <c:f>Pivot_Calculations!$C$19:$C$21</c:f>
              <c:numCache>
                <c:formatCode>General</c:formatCode>
                <c:ptCount val="3"/>
                <c:pt idx="0">
                  <c:v>5</c:v>
                </c:pt>
                <c:pt idx="1">
                  <c:v>1</c:v>
                </c:pt>
                <c:pt idx="2">
                  <c:v>16</c:v>
                </c:pt>
              </c:numCache>
            </c:numRef>
          </c:val>
        </c:ser>
        <c:ser>
          <c:idx val="1"/>
          <c:order val="1"/>
          <c:tx>
            <c:v>Closed</c:v>
          </c:tx>
          <c:spPr>
            <a:solidFill>
              <a:srgbClr val="22C55E"/>
            </a:solidFill>
          </c:spPr>
          <c:dLbls>
            <c:txPr>
              <a:bodyPr/>
              <a:lstStyle/>
              <a:p>
                <a:pPr>
                  <a:defRPr baseline="0">
                    <a:solidFill>
                      <a:srgbClr val="FFFFFF"/>
                    </a:solidFill>
                  </a:defRPr>
                </a:pPr>
                <a:endParaRPr lang="en-US"/>
              </a:p>
            </c:txPr>
            <c:showVal val="1"/>
          </c:dLbls>
          <c:cat>
            <c:strRef>
              <c:f>Pivot_Calculations!$A$19:$A$21</c:f>
              <c:strCache>
                <c:ptCount val="3"/>
                <c:pt idx="0">
                  <c:v>IT</c:v>
                </c:pt>
                <c:pt idx="1">
                  <c:v>Marketing</c:v>
                </c:pt>
                <c:pt idx="2">
                  <c:v>Repair and Maintenance</c:v>
                </c:pt>
              </c:strCache>
            </c:strRef>
          </c:cat>
          <c:val>
            <c:numRef>
              <c:f>Pivot_Calculations!$D$19:$D$21</c:f>
              <c:numCache>
                <c:formatCode>General</c:formatCode>
                <c:ptCount val="3"/>
                <c:pt idx="0">
                  <c:v>4</c:v>
                </c:pt>
                <c:pt idx="1">
                  <c:v>0</c:v>
                </c:pt>
                <c:pt idx="2">
                  <c:v>36</c:v>
                </c:pt>
              </c:numCache>
            </c:numRef>
          </c:val>
        </c:ser>
        <c:overlap val="100"/>
        <c:axId val="50080001"/>
        <c:axId val="50080002"/>
      </c:barChart>
      <c:catAx>
        <c:axId val="50080001"/>
        <c:scaling>
          <c:orientation val="minMax"/>
        </c:scaling>
        <c:axPos val="b"/>
        <c:title>
          <c:tx>
            <c:rich>
              <a:bodyPr/>
              <a:lstStyle/>
              <a:p>
                <a:pPr>
                  <a:defRPr sz="1000" baseline="0">
                    <a:solidFill>
                      <a:srgbClr val="94A3B8"/>
                    </a:solidFill>
                    <a:latin typeface="Segoe UI"/>
                  </a:defRPr>
                </a:pPr>
                <a:r>
                  <a:rPr lang="en-US" sz="1000" baseline="0">
                    <a:solidFill>
                      <a:srgbClr val="94A3B8"/>
                    </a:solidFill>
                    <a:latin typeface="Segoe UI"/>
                  </a:rPr>
                  <a:t>Category</a:t>
                </a:r>
              </a:p>
            </c:rich>
          </c:tx>
          <c:layout/>
        </c:title>
        <c:tickLblPos val="nextTo"/>
        <c:spPr>
          <a:ln>
            <a:solidFill>
              <a:srgbClr val="334155"/>
            </a:solidFill>
          </a:ln>
        </c:spPr>
        <c:txPr>
          <a:bodyPr/>
          <a:lstStyle/>
          <a:p>
            <a:pPr>
              <a:defRPr sz="900" baseline="0">
                <a:solidFill>
                  <a:srgbClr val="94A3B8"/>
                </a:solidFill>
                <a:latin typeface="Segoe UI"/>
              </a:defRPr>
            </a:pPr>
            <a:endParaRPr lang="en-US"/>
          </a:p>
        </c:txPr>
        <c:crossAx val="50080002"/>
        <c:crosses val="autoZero"/>
        <c:auto val="1"/>
        <c:lblAlgn val="ctr"/>
        <c:lblOffset val="100"/>
      </c:catAx>
      <c:valAx>
        <c:axId val="50080002"/>
        <c:scaling>
          <c:orientation val="minMax"/>
        </c:scaling>
        <c:axPos val="l"/>
        <c:majorGridlines>
          <c:spPr>
            <a:ln>
              <a:solidFill>
                <a:srgbClr val="1E293B"/>
              </a:solidFill>
            </a:ln>
          </c:spPr>
        </c:majorGridlines>
        <c:title>
          <c:tx>
            <c:rich>
              <a:bodyPr/>
              <a:lstStyle/>
              <a:p>
                <a:pPr>
                  <a:defRPr sz="1000" baseline="0">
                    <a:solidFill>
                      <a:srgbClr val="94A3B8"/>
                    </a:solidFill>
                    <a:latin typeface="Segoe UI"/>
                  </a:defRPr>
                </a:pPr>
                <a:r>
                  <a:rPr lang="en-US" sz="1000" baseline="0">
                    <a:solidFill>
                      <a:srgbClr val="94A3B8"/>
                    </a:solidFill>
                    <a:latin typeface="Segoe UI"/>
                  </a:rPr>
                  <a:t>Tickets</a:t>
                </a:r>
              </a:p>
            </c:rich>
          </c:tx>
          <c:layout/>
        </c:title>
        <c:numFmt formatCode="General" sourceLinked="1"/>
        <c:tickLblPos val="nextTo"/>
        <c:spPr>
          <a:ln>
            <a:solidFill>
              <a:srgbClr val="334155"/>
            </a:solidFill>
          </a:ln>
        </c:spPr>
        <c:txPr>
          <a:bodyPr/>
          <a:lstStyle/>
          <a:p>
            <a:pPr>
              <a:defRPr sz="900" baseline="0">
                <a:solidFill>
                  <a:srgbClr val="94A3B8"/>
                </a:solidFill>
                <a:latin typeface="Segoe UI"/>
              </a:defRPr>
            </a:pPr>
            <a:endParaRPr lang="en-US"/>
          </a:p>
        </c:txPr>
        <c:crossAx val="50080001"/>
        <c:crosses val="autoZero"/>
        <c:crossBetween val="between"/>
      </c:valAx>
      <c:spPr>
        <a:solidFill>
          <a:srgbClr val="172033"/>
        </a:solidFill>
        <a:ln>
          <a:noFill/>
        </a:ln>
      </c:spPr>
    </c:plotArea>
    <c:legend>
      <c:legendPos val="b"/>
      <c:layout/>
      <c:txPr>
        <a:bodyPr/>
        <a:lstStyle/>
        <a:p>
          <a:pPr>
            <a:defRPr sz="1000" baseline="0">
              <a:solidFill>
                <a:srgbClr val="E5E7EB"/>
              </a:solidFill>
              <a:latin typeface="Segoe UI"/>
            </a:defRPr>
          </a:pPr>
          <a:endParaRPr lang="en-US"/>
        </a:p>
      </c:txPr>
    </c:legend>
    <c:plotVisOnly val="1"/>
  </c:chart>
  <c:spPr>
    <a:solidFill>
      <a:srgbClr val="0E1726"/>
    </a:solid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1" baseline="0">
                <a:solidFill>
                  <a:srgbClr val="E5E7EB"/>
                </a:solidFill>
                <a:latin typeface="Segoe UI"/>
              </a:defRPr>
            </a:pPr>
            <a:r>
              <a:rPr lang="en-US" sz="1300" b="1" baseline="0">
                <a:solidFill>
                  <a:srgbClr val="E5E7EB"/>
                </a:solidFill>
                <a:latin typeface="Segoe UI"/>
              </a:rPr>
              <a:t>Tickets by City</a:t>
            </a:r>
          </a:p>
        </c:rich>
      </c:tx>
      <c:layout/>
    </c:title>
    <c:plotArea>
      <c:layout/>
      <c:barChart>
        <c:barDir val="bar"/>
        <c:grouping val="clustered"/>
        <c:ser>
          <c:idx val="0"/>
          <c:order val="0"/>
          <c:tx>
            <c:v>Total</c:v>
          </c:tx>
          <c:spPr>
            <a:solidFill>
              <a:srgbClr val="22C55E"/>
            </a:solidFill>
          </c:spPr>
          <c:dLbls>
            <c:txPr>
              <a:bodyPr/>
              <a:lstStyle/>
              <a:p>
                <a:pPr>
                  <a:defRPr baseline="0">
                    <a:solidFill>
                      <a:srgbClr val="FFFFFF"/>
                    </a:solidFill>
                  </a:defRPr>
                </a:pPr>
                <a:endParaRPr lang="en-US"/>
              </a:p>
            </c:txPr>
            <c:showVal val="1"/>
          </c:dLbls>
          <c:cat>
            <c:strRef>
              <c:f>Pivot_Calculations!$A$25:$A$30</c:f>
              <c:strCache>
                <c:ptCount val="6"/>
                <c:pt idx="0">
                  <c:v>Bangalore</c:v>
                </c:pt>
                <c:pt idx="1">
                  <c:v>Gurgaon</c:v>
                </c:pt>
                <c:pt idx="2">
                  <c:v>Delhi</c:v>
                </c:pt>
                <c:pt idx="3">
                  <c:v>Hyderabad</c:v>
                </c:pt>
                <c:pt idx="4">
                  <c:v>Ghaziabad</c:v>
                </c:pt>
                <c:pt idx="5">
                  <c:v>Greater Noida</c:v>
                </c:pt>
              </c:strCache>
            </c:strRef>
          </c:cat>
          <c:val>
            <c:numRef>
              <c:f>Pivot_Calculations!$B$25:$B$30</c:f>
              <c:numCache>
                <c:formatCode>General</c:formatCode>
                <c:ptCount val="6"/>
                <c:pt idx="0">
                  <c:v>47</c:v>
                </c:pt>
                <c:pt idx="1">
                  <c:v>6</c:v>
                </c:pt>
                <c:pt idx="2">
                  <c:v>5</c:v>
                </c:pt>
                <c:pt idx="3">
                  <c:v>2</c:v>
                </c:pt>
                <c:pt idx="4">
                  <c:v>1</c:v>
                </c:pt>
                <c:pt idx="5">
                  <c:v>1</c:v>
                </c:pt>
              </c:numCache>
            </c:numRef>
          </c:val>
        </c:ser>
        <c:axId val="50090001"/>
        <c:axId val="50090002"/>
      </c:barChart>
      <c:catAx>
        <c:axId val="50090001"/>
        <c:scaling>
          <c:orientation val="minMax"/>
        </c:scaling>
        <c:axPos val="l"/>
        <c:majorGridlines>
          <c:spPr>
            <a:ln>
              <a:solidFill>
                <a:srgbClr val="1E293B"/>
              </a:solidFill>
            </a:ln>
          </c:spPr>
        </c:majorGridlines>
        <c:title>
          <c:tx>
            <c:rich>
              <a:bodyPr rot="-5400000" vert="horz"/>
              <a:lstStyle/>
              <a:p>
                <a:pPr>
                  <a:defRPr sz="1000" baseline="0">
                    <a:solidFill>
                      <a:srgbClr val="94A3B8"/>
                    </a:solidFill>
                    <a:latin typeface="Segoe UI"/>
                  </a:defRPr>
                </a:pPr>
                <a:r>
                  <a:rPr lang="en-US" sz="1000" baseline="0">
                    <a:solidFill>
                      <a:srgbClr val="94A3B8"/>
                    </a:solidFill>
                    <a:latin typeface="Segoe UI"/>
                  </a:rPr>
                  <a:t>City</a:t>
                </a:r>
              </a:p>
            </c:rich>
          </c:tx>
          <c:layout/>
        </c:title>
        <c:tickLblPos val="nextTo"/>
        <c:spPr>
          <a:ln>
            <a:solidFill>
              <a:srgbClr val="334155"/>
            </a:solidFill>
          </a:ln>
        </c:spPr>
        <c:txPr>
          <a:bodyPr/>
          <a:lstStyle/>
          <a:p>
            <a:pPr>
              <a:defRPr sz="900" baseline="0">
                <a:solidFill>
                  <a:srgbClr val="94A3B8"/>
                </a:solidFill>
                <a:latin typeface="Segoe UI"/>
              </a:defRPr>
            </a:pPr>
            <a:endParaRPr lang="en-US"/>
          </a:p>
        </c:txPr>
        <c:crossAx val="50090002"/>
        <c:crosses val="autoZero"/>
        <c:auto val="1"/>
        <c:lblAlgn val="ctr"/>
        <c:lblOffset val="100"/>
      </c:catAx>
      <c:valAx>
        <c:axId val="50090002"/>
        <c:scaling>
          <c:orientation val="minMax"/>
        </c:scaling>
        <c:axPos val="b"/>
        <c:title>
          <c:tx>
            <c:rich>
              <a:bodyPr/>
              <a:lstStyle/>
              <a:p>
                <a:pPr>
                  <a:defRPr sz="1000" baseline="0">
                    <a:solidFill>
                      <a:srgbClr val="94A3B8"/>
                    </a:solidFill>
                    <a:latin typeface="Segoe UI"/>
                  </a:defRPr>
                </a:pPr>
                <a:r>
                  <a:rPr lang="en-US" sz="1000" baseline="0">
                    <a:solidFill>
                      <a:srgbClr val="94A3B8"/>
                    </a:solidFill>
                    <a:latin typeface="Segoe UI"/>
                  </a:rPr>
                  <a:t>Tickets</a:t>
                </a:r>
              </a:p>
            </c:rich>
          </c:tx>
          <c:layout/>
        </c:title>
        <c:numFmt formatCode="General" sourceLinked="1"/>
        <c:tickLblPos val="nextTo"/>
        <c:spPr>
          <a:ln>
            <a:solidFill>
              <a:srgbClr val="334155"/>
            </a:solidFill>
          </a:ln>
        </c:spPr>
        <c:txPr>
          <a:bodyPr/>
          <a:lstStyle/>
          <a:p>
            <a:pPr>
              <a:defRPr sz="900" baseline="0">
                <a:solidFill>
                  <a:srgbClr val="94A3B8"/>
                </a:solidFill>
                <a:latin typeface="Segoe UI"/>
              </a:defRPr>
            </a:pPr>
            <a:endParaRPr lang="en-US"/>
          </a:p>
        </c:txPr>
        <c:crossAx val="50090001"/>
        <c:crosses val="autoZero"/>
        <c:crossBetween val="between"/>
      </c:valAx>
      <c:spPr>
        <a:solidFill>
          <a:srgbClr val="172033"/>
        </a:solidFill>
        <a:ln>
          <a:noFill/>
        </a:ln>
      </c:spPr>
    </c:plotArea>
    <c:legend>
      <c:legendPos val="b"/>
      <c:layout/>
      <c:txPr>
        <a:bodyPr/>
        <a:lstStyle/>
        <a:p>
          <a:pPr>
            <a:defRPr sz="1000" baseline="0">
              <a:solidFill>
                <a:srgbClr val="E5E7EB"/>
              </a:solidFill>
              <a:latin typeface="Segoe UI"/>
            </a:defRPr>
          </a:pPr>
          <a:endParaRPr lang="en-US"/>
        </a:p>
      </c:txPr>
    </c:legend>
    <c:plotVisOnly val="1"/>
  </c:chart>
  <c:spPr>
    <a:solidFill>
      <a:srgbClr val="0E1726"/>
    </a:solidFill>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1" baseline="0">
                <a:solidFill>
                  <a:srgbClr val="E5E7EB"/>
                </a:solidFill>
                <a:latin typeface="Segoe UI"/>
              </a:defRPr>
            </a:pPr>
            <a:r>
              <a:rPr lang="en-US" sz="1300" b="1" baseline="0">
                <a:solidFill>
                  <a:srgbClr val="E5E7EB"/>
                </a:solidFill>
                <a:latin typeface="Segoe UI"/>
              </a:rPr>
              <a:t>Share by State</a:t>
            </a:r>
          </a:p>
        </c:rich>
      </c:tx>
      <c:layout/>
    </c:title>
    <c:plotArea>
      <c:layout/>
      <c:doughnutChart>
        <c:varyColors val="1"/>
        <c:ser>
          <c:idx val="0"/>
          <c:order val="0"/>
          <c:tx>
            <c:v>State</c:v>
          </c:tx>
          <c:dPt>
            <c:idx val="0"/>
            <c:spPr>
              <a:solidFill>
                <a:srgbClr val="3FB6F9"/>
              </a:solidFill>
            </c:spPr>
          </c:dPt>
          <c:dPt>
            <c:idx val="1"/>
            <c:spPr>
              <a:solidFill>
                <a:srgbClr val="F59E0B"/>
              </a:solidFill>
            </c:spPr>
          </c:dPt>
          <c:dPt>
            <c:idx val="2"/>
            <c:spPr>
              <a:solidFill>
                <a:srgbClr val="A78BFA"/>
              </a:solidFill>
            </c:spPr>
          </c:dPt>
          <c:dLbls>
            <c:txPr>
              <a:bodyPr/>
              <a:lstStyle/>
              <a:p>
                <a:pPr>
                  <a:defRPr b="1" baseline="0">
                    <a:solidFill>
                      <a:srgbClr val="FFFFFF"/>
                    </a:solidFill>
                  </a:defRPr>
                </a:pPr>
                <a:endParaRPr lang="en-US"/>
              </a:p>
            </c:txPr>
            <c:showPercent val="1"/>
          </c:dLbls>
          <c:cat>
            <c:strRef>
              <c:f>Pivot_Calculations!$A$34:$A$36</c:f>
              <c:strCache>
                <c:ptCount val="3"/>
                <c:pt idx="0">
                  <c:v>Karnataka</c:v>
                </c:pt>
                <c:pt idx="1">
                  <c:v>NCR</c:v>
                </c:pt>
                <c:pt idx="2">
                  <c:v>Telangana</c:v>
                </c:pt>
              </c:strCache>
            </c:strRef>
          </c:cat>
          <c:val>
            <c:numRef>
              <c:f>Pivot_Calculations!$B$34:$B$36</c:f>
              <c:numCache>
                <c:formatCode>General</c:formatCode>
                <c:ptCount val="3"/>
                <c:pt idx="0">
                  <c:v>47</c:v>
                </c:pt>
                <c:pt idx="1">
                  <c:v>13</c:v>
                </c:pt>
                <c:pt idx="2">
                  <c:v>2</c:v>
                </c:pt>
              </c:numCache>
            </c:numRef>
          </c:val>
        </c:ser>
        <c:firstSliceAng val="0"/>
        <c:holeSize val="50"/>
      </c:doughnutChart>
      <c:spPr>
        <a:solidFill>
          <a:srgbClr val="172033"/>
        </a:solidFill>
        <a:ln>
          <a:noFill/>
        </a:ln>
      </c:spPr>
    </c:plotArea>
    <c:legend>
      <c:legendPos val="b"/>
      <c:layout/>
      <c:txPr>
        <a:bodyPr/>
        <a:lstStyle/>
        <a:p>
          <a:pPr rtl="0">
            <a:defRPr sz="1000" baseline="0">
              <a:solidFill>
                <a:srgbClr val="E5E7EB"/>
              </a:solidFill>
              <a:latin typeface="Segoe UI"/>
            </a:defRPr>
          </a:pPr>
          <a:endParaRPr lang="en-US"/>
        </a:p>
      </c:txPr>
    </c:legend>
    <c:plotVisOnly val="1"/>
  </c:chart>
  <c:spPr>
    <a:solidFill>
      <a:srgbClr val="0E1726"/>
    </a:solidFill>
    <a:ln>
      <a:no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1" baseline="0">
                <a:solidFill>
                  <a:srgbClr val="E5E7EB"/>
                </a:solidFill>
                <a:latin typeface="Segoe UI"/>
              </a:defRPr>
            </a:pPr>
            <a:r>
              <a:rPr lang="en-US" sz="1300" b="1" baseline="0">
                <a:solidFill>
                  <a:srgbClr val="E5E7EB"/>
                </a:solidFill>
                <a:latin typeface="Segoe UI"/>
              </a:rPr>
              <a:t>Open / Closed / SLA breach by City</a:t>
            </a:r>
          </a:p>
        </c:rich>
      </c:tx>
      <c:layout/>
    </c:title>
    <c:plotArea>
      <c:layout/>
      <c:barChart>
        <c:barDir val="col"/>
        <c:grouping val="stacked"/>
        <c:ser>
          <c:idx val="0"/>
          <c:order val="0"/>
          <c:tx>
            <c:v>Closed</c:v>
          </c:tx>
          <c:spPr>
            <a:solidFill>
              <a:srgbClr val="22C55E"/>
            </a:solidFill>
          </c:spPr>
          <c:cat>
            <c:strRef>
              <c:f>Pivot_Calculations!$A$25:$A$30</c:f>
              <c:strCache>
                <c:ptCount val="6"/>
                <c:pt idx="0">
                  <c:v>Bangalore</c:v>
                </c:pt>
                <c:pt idx="1">
                  <c:v>Gurgaon</c:v>
                </c:pt>
                <c:pt idx="2">
                  <c:v>Delhi</c:v>
                </c:pt>
                <c:pt idx="3">
                  <c:v>Hyderabad</c:v>
                </c:pt>
                <c:pt idx="4">
                  <c:v>Ghaziabad</c:v>
                </c:pt>
                <c:pt idx="5">
                  <c:v>Greater Noida</c:v>
                </c:pt>
              </c:strCache>
            </c:strRef>
          </c:cat>
          <c:val>
            <c:numRef>
              <c:f>Pivot_Calculations!$D$25:$D$30</c:f>
              <c:numCache>
                <c:formatCode>General</c:formatCode>
                <c:ptCount val="6"/>
                <c:pt idx="0">
                  <c:v>28</c:v>
                </c:pt>
                <c:pt idx="1">
                  <c:v>5</c:v>
                </c:pt>
                <c:pt idx="2">
                  <c:v>4</c:v>
                </c:pt>
                <c:pt idx="3">
                  <c:v>2</c:v>
                </c:pt>
                <c:pt idx="4">
                  <c:v>1</c:v>
                </c:pt>
                <c:pt idx="5">
                  <c:v>0</c:v>
                </c:pt>
              </c:numCache>
            </c:numRef>
          </c:val>
        </c:ser>
        <c:ser>
          <c:idx val="1"/>
          <c:order val="1"/>
          <c:tx>
            <c:v>Open</c:v>
          </c:tx>
          <c:spPr>
            <a:solidFill>
              <a:srgbClr val="F59E0B"/>
            </a:solidFill>
          </c:spPr>
          <c:cat>
            <c:strRef>
              <c:f>Pivot_Calculations!$A$25:$A$30</c:f>
              <c:strCache>
                <c:ptCount val="6"/>
                <c:pt idx="0">
                  <c:v>Bangalore</c:v>
                </c:pt>
                <c:pt idx="1">
                  <c:v>Gurgaon</c:v>
                </c:pt>
                <c:pt idx="2">
                  <c:v>Delhi</c:v>
                </c:pt>
                <c:pt idx="3">
                  <c:v>Hyderabad</c:v>
                </c:pt>
                <c:pt idx="4">
                  <c:v>Ghaziabad</c:v>
                </c:pt>
                <c:pt idx="5">
                  <c:v>Greater Noida</c:v>
                </c:pt>
              </c:strCache>
            </c:strRef>
          </c:cat>
          <c:val>
            <c:numRef>
              <c:f>Pivot_Calculations!$C$25:$C$30</c:f>
              <c:numCache>
                <c:formatCode>General</c:formatCode>
                <c:ptCount val="6"/>
                <c:pt idx="0">
                  <c:v>19</c:v>
                </c:pt>
                <c:pt idx="1">
                  <c:v>1</c:v>
                </c:pt>
                <c:pt idx="2">
                  <c:v>1</c:v>
                </c:pt>
                <c:pt idx="3">
                  <c:v>0</c:v>
                </c:pt>
                <c:pt idx="4">
                  <c:v>0</c:v>
                </c:pt>
                <c:pt idx="5">
                  <c:v>1</c:v>
                </c:pt>
              </c:numCache>
            </c:numRef>
          </c:val>
        </c:ser>
        <c:ser>
          <c:idx val="2"/>
          <c:order val="2"/>
          <c:tx>
            <c:v>SLA Breach</c:v>
          </c:tx>
          <c:spPr>
            <a:solidFill>
              <a:srgbClr val="EF4444"/>
            </a:solidFill>
          </c:spPr>
          <c:cat>
            <c:strRef>
              <c:f>Pivot_Calculations!$A$25:$A$30</c:f>
              <c:strCache>
                <c:ptCount val="6"/>
                <c:pt idx="0">
                  <c:v>Bangalore</c:v>
                </c:pt>
                <c:pt idx="1">
                  <c:v>Gurgaon</c:v>
                </c:pt>
                <c:pt idx="2">
                  <c:v>Delhi</c:v>
                </c:pt>
                <c:pt idx="3">
                  <c:v>Hyderabad</c:v>
                </c:pt>
                <c:pt idx="4">
                  <c:v>Ghaziabad</c:v>
                </c:pt>
                <c:pt idx="5">
                  <c:v>Greater Noida</c:v>
                </c:pt>
              </c:strCache>
            </c:strRef>
          </c:cat>
          <c:val>
            <c:numRef>
              <c:f>Pivot_Calculations!$E$25:$E$30</c:f>
              <c:numCache>
                <c:formatCode>General</c:formatCode>
                <c:ptCount val="6"/>
                <c:pt idx="0">
                  <c:v>5</c:v>
                </c:pt>
                <c:pt idx="1">
                  <c:v>1</c:v>
                </c:pt>
                <c:pt idx="2">
                  <c:v>0</c:v>
                </c:pt>
                <c:pt idx="3">
                  <c:v>0</c:v>
                </c:pt>
                <c:pt idx="4">
                  <c:v>0</c:v>
                </c:pt>
                <c:pt idx="5">
                  <c:v>1</c:v>
                </c:pt>
              </c:numCache>
            </c:numRef>
          </c:val>
        </c:ser>
        <c:overlap val="100"/>
        <c:axId val="50110001"/>
        <c:axId val="50110002"/>
      </c:barChart>
      <c:catAx>
        <c:axId val="50110001"/>
        <c:scaling>
          <c:orientation val="minMax"/>
        </c:scaling>
        <c:axPos val="b"/>
        <c:title>
          <c:tx>
            <c:rich>
              <a:bodyPr/>
              <a:lstStyle/>
              <a:p>
                <a:pPr>
                  <a:defRPr sz="1000" baseline="0">
                    <a:solidFill>
                      <a:srgbClr val="94A3B8"/>
                    </a:solidFill>
                    <a:latin typeface="Segoe UI"/>
                  </a:defRPr>
                </a:pPr>
                <a:r>
                  <a:rPr lang="en-US" sz="1000" baseline="0">
                    <a:solidFill>
                      <a:srgbClr val="94A3B8"/>
                    </a:solidFill>
                    <a:latin typeface="Segoe UI"/>
                  </a:rPr>
                  <a:t>City</a:t>
                </a:r>
              </a:p>
            </c:rich>
          </c:tx>
          <c:layout/>
        </c:title>
        <c:tickLblPos val="nextTo"/>
        <c:spPr>
          <a:ln>
            <a:solidFill>
              <a:srgbClr val="334155"/>
            </a:solidFill>
          </a:ln>
        </c:spPr>
        <c:txPr>
          <a:bodyPr/>
          <a:lstStyle/>
          <a:p>
            <a:pPr>
              <a:defRPr sz="900" baseline="0">
                <a:solidFill>
                  <a:srgbClr val="94A3B8"/>
                </a:solidFill>
                <a:latin typeface="Segoe UI"/>
              </a:defRPr>
            </a:pPr>
            <a:endParaRPr lang="en-US"/>
          </a:p>
        </c:txPr>
        <c:crossAx val="50110002"/>
        <c:crosses val="autoZero"/>
        <c:auto val="1"/>
        <c:lblAlgn val="ctr"/>
        <c:lblOffset val="100"/>
      </c:catAx>
      <c:valAx>
        <c:axId val="50110002"/>
        <c:scaling>
          <c:orientation val="minMax"/>
        </c:scaling>
        <c:axPos val="l"/>
        <c:majorGridlines>
          <c:spPr>
            <a:ln>
              <a:solidFill>
                <a:srgbClr val="1E293B"/>
              </a:solidFill>
            </a:ln>
          </c:spPr>
        </c:majorGridlines>
        <c:title>
          <c:tx>
            <c:rich>
              <a:bodyPr/>
              <a:lstStyle/>
              <a:p>
                <a:pPr>
                  <a:defRPr sz="1000" baseline="0">
                    <a:solidFill>
                      <a:srgbClr val="94A3B8"/>
                    </a:solidFill>
                    <a:latin typeface="Segoe UI"/>
                  </a:defRPr>
                </a:pPr>
                <a:r>
                  <a:rPr lang="en-US" sz="1000" baseline="0">
                    <a:solidFill>
                      <a:srgbClr val="94A3B8"/>
                    </a:solidFill>
                    <a:latin typeface="Segoe UI"/>
                  </a:rPr>
                  <a:t>Tickets</a:t>
                </a:r>
              </a:p>
            </c:rich>
          </c:tx>
          <c:layout/>
        </c:title>
        <c:numFmt formatCode="General" sourceLinked="1"/>
        <c:tickLblPos val="nextTo"/>
        <c:spPr>
          <a:ln>
            <a:solidFill>
              <a:srgbClr val="334155"/>
            </a:solidFill>
          </a:ln>
        </c:spPr>
        <c:txPr>
          <a:bodyPr/>
          <a:lstStyle/>
          <a:p>
            <a:pPr>
              <a:defRPr sz="900" baseline="0">
                <a:solidFill>
                  <a:srgbClr val="94A3B8"/>
                </a:solidFill>
                <a:latin typeface="Segoe UI"/>
              </a:defRPr>
            </a:pPr>
            <a:endParaRPr lang="en-US"/>
          </a:p>
        </c:txPr>
        <c:crossAx val="50110001"/>
        <c:crosses val="autoZero"/>
        <c:crossBetween val="between"/>
      </c:valAx>
      <c:spPr>
        <a:solidFill>
          <a:srgbClr val="172033"/>
        </a:solidFill>
        <a:ln>
          <a:noFill/>
        </a:ln>
      </c:spPr>
    </c:plotArea>
    <c:legend>
      <c:legendPos val="b"/>
      <c:layout/>
      <c:txPr>
        <a:bodyPr/>
        <a:lstStyle/>
        <a:p>
          <a:pPr>
            <a:defRPr sz="1000" baseline="0">
              <a:solidFill>
                <a:srgbClr val="E5E7EB"/>
              </a:solidFill>
              <a:latin typeface="Segoe UI"/>
            </a:defRPr>
          </a:pPr>
          <a:endParaRPr lang="en-US"/>
        </a:p>
      </c:txPr>
    </c:legend>
    <c:plotVisOnly val="1"/>
  </c:chart>
  <c:spPr>
    <a:solidFill>
      <a:srgbClr val="0E1726"/>
    </a:solidFill>
    <a:ln>
      <a:no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1" baseline="0">
                <a:solidFill>
                  <a:srgbClr val="E5E7EB"/>
                </a:solidFill>
                <a:latin typeface="Segoe UI"/>
              </a:defRPr>
            </a:pPr>
            <a:r>
              <a:rPr lang="en-US" sz="1300" b="1" baseline="0">
                <a:solidFill>
                  <a:srgbClr val="E5E7EB"/>
                </a:solidFill>
                <a:latin typeface="Segoe UI"/>
              </a:rPr>
              <a:t>Aging Distribution</a:t>
            </a:r>
          </a:p>
        </c:rich>
      </c:tx>
      <c:layout/>
    </c:title>
    <c:plotArea>
      <c:layout/>
      <c:barChart>
        <c:barDir val="col"/>
        <c:grouping val="clustered"/>
        <c:ser>
          <c:idx val="0"/>
          <c:order val="0"/>
          <c:tx>
            <c:v>Tickets</c:v>
          </c:tx>
          <c:dPt>
            <c:idx val="0"/>
            <c:spPr>
              <a:solidFill>
                <a:srgbClr val="22C55E"/>
              </a:solidFill>
            </c:spPr>
          </c:dPt>
          <c:dPt>
            <c:idx val="1"/>
            <c:spPr>
              <a:solidFill>
                <a:srgbClr val="84CC16"/>
              </a:solidFill>
            </c:spPr>
          </c:dPt>
          <c:dPt>
            <c:idx val="2"/>
            <c:spPr>
              <a:solidFill>
                <a:srgbClr val="FACC15"/>
              </a:solidFill>
            </c:spPr>
          </c:dPt>
          <c:dPt>
            <c:idx val="3"/>
            <c:spPr>
              <a:solidFill>
                <a:srgbClr val="F97316"/>
              </a:solidFill>
            </c:spPr>
          </c:dPt>
          <c:dPt>
            <c:idx val="4"/>
            <c:spPr>
              <a:solidFill>
                <a:srgbClr val="EF4444"/>
              </a:solidFill>
            </c:spPr>
          </c:dPt>
          <c:dLbls>
            <c:txPr>
              <a:bodyPr/>
              <a:lstStyle/>
              <a:p>
                <a:pPr>
                  <a:defRPr b="1" baseline="0">
                    <a:solidFill>
                      <a:srgbClr val="FFFFFF"/>
                    </a:solidFill>
                  </a:defRPr>
                </a:pPr>
                <a:endParaRPr lang="en-US"/>
              </a:p>
            </c:txPr>
            <c:showVal val="1"/>
          </c:dLbls>
          <c:cat>
            <c:strRef>
              <c:f>Pivot_Calculations!$A$53:$A$57</c:f>
              <c:strCache>
                <c:ptCount val="5"/>
                <c:pt idx="0">
                  <c:v>0-1 Days</c:v>
                </c:pt>
                <c:pt idx="1">
                  <c:v>2-3 Days</c:v>
                </c:pt>
                <c:pt idx="2">
                  <c:v>4-7 Days</c:v>
                </c:pt>
                <c:pt idx="3">
                  <c:v>8-15 Days</c:v>
                </c:pt>
                <c:pt idx="4">
                  <c:v>15+ Days</c:v>
                </c:pt>
              </c:strCache>
            </c:strRef>
          </c:cat>
          <c:val>
            <c:numRef>
              <c:f>Pivot_Calculations!$B$53:$B$57</c:f>
              <c:numCache>
                <c:formatCode>General</c:formatCode>
                <c:ptCount val="5"/>
                <c:pt idx="0">
                  <c:v>38</c:v>
                </c:pt>
                <c:pt idx="1">
                  <c:v>21</c:v>
                </c:pt>
                <c:pt idx="2">
                  <c:v>3</c:v>
                </c:pt>
                <c:pt idx="3">
                  <c:v>0</c:v>
                </c:pt>
                <c:pt idx="4">
                  <c:v>0</c:v>
                </c:pt>
              </c:numCache>
            </c:numRef>
          </c:val>
        </c:ser>
        <c:axId val="50120001"/>
        <c:axId val="50120002"/>
      </c:barChart>
      <c:catAx>
        <c:axId val="50120001"/>
        <c:scaling>
          <c:orientation val="minMax"/>
        </c:scaling>
        <c:axPos val="b"/>
        <c:title>
          <c:tx>
            <c:rich>
              <a:bodyPr/>
              <a:lstStyle/>
              <a:p>
                <a:pPr>
                  <a:defRPr sz="1000" baseline="0">
                    <a:solidFill>
                      <a:srgbClr val="94A3B8"/>
                    </a:solidFill>
                    <a:latin typeface="Segoe UI"/>
                  </a:defRPr>
                </a:pPr>
                <a:r>
                  <a:rPr lang="en-US" sz="1000" baseline="0">
                    <a:solidFill>
                      <a:srgbClr val="94A3B8"/>
                    </a:solidFill>
                    <a:latin typeface="Segoe UI"/>
                  </a:rPr>
                  <a:t>Bucket</a:t>
                </a:r>
              </a:p>
            </c:rich>
          </c:tx>
          <c:layout/>
        </c:title>
        <c:tickLblPos val="nextTo"/>
        <c:spPr>
          <a:ln>
            <a:solidFill>
              <a:srgbClr val="334155"/>
            </a:solidFill>
          </a:ln>
        </c:spPr>
        <c:txPr>
          <a:bodyPr/>
          <a:lstStyle/>
          <a:p>
            <a:pPr>
              <a:defRPr sz="900" baseline="0">
                <a:solidFill>
                  <a:srgbClr val="94A3B8"/>
                </a:solidFill>
                <a:latin typeface="Segoe UI"/>
              </a:defRPr>
            </a:pPr>
            <a:endParaRPr lang="en-US"/>
          </a:p>
        </c:txPr>
        <c:crossAx val="50120002"/>
        <c:crosses val="autoZero"/>
        <c:auto val="1"/>
        <c:lblAlgn val="ctr"/>
        <c:lblOffset val="100"/>
      </c:catAx>
      <c:valAx>
        <c:axId val="50120002"/>
        <c:scaling>
          <c:orientation val="minMax"/>
        </c:scaling>
        <c:axPos val="l"/>
        <c:majorGridlines>
          <c:spPr>
            <a:ln>
              <a:solidFill>
                <a:srgbClr val="1E293B"/>
              </a:solidFill>
            </a:ln>
          </c:spPr>
        </c:majorGridlines>
        <c:title>
          <c:tx>
            <c:rich>
              <a:bodyPr/>
              <a:lstStyle/>
              <a:p>
                <a:pPr>
                  <a:defRPr sz="1000" baseline="0">
                    <a:solidFill>
                      <a:srgbClr val="94A3B8"/>
                    </a:solidFill>
                    <a:latin typeface="Segoe UI"/>
                  </a:defRPr>
                </a:pPr>
                <a:r>
                  <a:rPr lang="en-US" sz="1000" baseline="0">
                    <a:solidFill>
                      <a:srgbClr val="94A3B8"/>
                    </a:solidFill>
                    <a:latin typeface="Segoe UI"/>
                  </a:rPr>
                  <a:t>Tickets</a:t>
                </a:r>
              </a:p>
            </c:rich>
          </c:tx>
          <c:layout/>
        </c:title>
        <c:numFmt formatCode="General" sourceLinked="1"/>
        <c:tickLblPos val="nextTo"/>
        <c:spPr>
          <a:ln>
            <a:solidFill>
              <a:srgbClr val="334155"/>
            </a:solidFill>
          </a:ln>
        </c:spPr>
        <c:txPr>
          <a:bodyPr/>
          <a:lstStyle/>
          <a:p>
            <a:pPr>
              <a:defRPr sz="900" baseline="0">
                <a:solidFill>
                  <a:srgbClr val="94A3B8"/>
                </a:solidFill>
                <a:latin typeface="Segoe UI"/>
              </a:defRPr>
            </a:pPr>
            <a:endParaRPr lang="en-US"/>
          </a:p>
        </c:txPr>
        <c:crossAx val="50120001"/>
        <c:crosses val="autoZero"/>
        <c:crossBetween val="between"/>
      </c:valAx>
      <c:spPr>
        <a:solidFill>
          <a:srgbClr val="172033"/>
        </a:solidFill>
        <a:ln>
          <a:noFill/>
        </a:ln>
      </c:spPr>
    </c:plotArea>
    <c:legend>
      <c:legendPos val="b"/>
      <c:layout/>
      <c:txPr>
        <a:bodyPr/>
        <a:lstStyle/>
        <a:p>
          <a:pPr>
            <a:defRPr sz="1000" baseline="0">
              <a:solidFill>
                <a:srgbClr val="E5E7EB"/>
              </a:solidFill>
              <a:latin typeface="Segoe UI"/>
            </a:defRPr>
          </a:pPr>
          <a:endParaRPr lang="en-US"/>
        </a:p>
      </c:txPr>
    </c:legend>
    <c:plotVisOnly val="1"/>
  </c:chart>
  <c:spPr>
    <a:solidFill>
      <a:srgbClr val="0E1726"/>
    </a:solidFill>
    <a:ln>
      <a:no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1" baseline="0">
                <a:solidFill>
                  <a:srgbClr val="E5E7EB"/>
                </a:solidFill>
                <a:latin typeface="Segoe UI"/>
              </a:defRPr>
            </a:pPr>
            <a:r>
              <a:rPr lang="en-US" sz="1300" b="1" baseline="0">
                <a:solidFill>
                  <a:srgbClr val="E5E7EB"/>
                </a:solidFill>
                <a:latin typeface="Segoe UI"/>
              </a:rPr>
              <a:t>Monthly Trend (Stacked Area)</a:t>
            </a:r>
          </a:p>
        </c:rich>
      </c:tx>
      <c:layout/>
    </c:title>
    <c:plotArea>
      <c:layout/>
      <c:areaChart>
        <c:grouping val="stacked"/>
        <c:ser>
          <c:idx val="0"/>
          <c:order val="0"/>
          <c:tx>
            <c:v>Closed</c:v>
          </c:tx>
          <c:spPr>
            <a:solidFill>
              <a:srgbClr val="22C55E">
                <a:alpha val="70000"/>
              </a:srgbClr>
            </a:solidFill>
            <a:ln>
              <a:solidFill>
                <a:srgbClr val="22C55E"/>
              </a:solidFill>
            </a:ln>
          </c:spPr>
          <c:cat>
            <c:strRef>
              <c:f>Pivot_Calculations!$A$61</c:f>
              <c:strCache>
                <c:ptCount val="1"/>
                <c:pt idx="0">
                  <c:v>2026-05</c:v>
                </c:pt>
              </c:strCache>
            </c:strRef>
          </c:cat>
          <c:val>
            <c:numRef>
              <c:f>Pivot_Calculations!$C$61</c:f>
              <c:numCache>
                <c:formatCode>General</c:formatCode>
                <c:ptCount val="1"/>
                <c:pt idx="0">
                  <c:v>40</c:v>
                </c:pt>
              </c:numCache>
            </c:numRef>
          </c:val>
        </c:ser>
        <c:ser>
          <c:idx val="1"/>
          <c:order val="1"/>
          <c:tx>
            <c:v>Open</c:v>
          </c:tx>
          <c:spPr>
            <a:solidFill>
              <a:srgbClr val="F59E0B">
                <a:alpha val="70000"/>
              </a:srgbClr>
            </a:solidFill>
            <a:ln>
              <a:solidFill>
                <a:srgbClr val="F59E0B"/>
              </a:solidFill>
            </a:ln>
          </c:spPr>
          <c:cat>
            <c:strRef>
              <c:f>Pivot_Calculations!$A$61</c:f>
              <c:strCache>
                <c:ptCount val="1"/>
                <c:pt idx="0">
                  <c:v>2026-05</c:v>
                </c:pt>
              </c:strCache>
            </c:strRef>
          </c:cat>
          <c:val>
            <c:numRef>
              <c:f>Pivot_Calculations!$D$61</c:f>
              <c:numCache>
                <c:formatCode>General</c:formatCode>
                <c:ptCount val="1"/>
                <c:pt idx="0">
                  <c:v>22</c:v>
                </c:pt>
              </c:numCache>
            </c:numRef>
          </c:val>
        </c:ser>
        <c:axId val="50130001"/>
        <c:axId val="50130002"/>
      </c:areaChart>
      <c:catAx>
        <c:axId val="50130001"/>
        <c:scaling>
          <c:orientation val="minMax"/>
        </c:scaling>
        <c:axPos val="b"/>
        <c:title>
          <c:tx>
            <c:rich>
              <a:bodyPr/>
              <a:lstStyle/>
              <a:p>
                <a:pPr>
                  <a:defRPr sz="1000" baseline="0">
                    <a:solidFill>
                      <a:srgbClr val="94A3B8"/>
                    </a:solidFill>
                    <a:latin typeface="Segoe UI"/>
                  </a:defRPr>
                </a:pPr>
                <a:r>
                  <a:rPr lang="en-US" sz="1000" baseline="0">
                    <a:solidFill>
                      <a:srgbClr val="94A3B8"/>
                    </a:solidFill>
                    <a:latin typeface="Segoe UI"/>
                  </a:rPr>
                  <a:t>Month</a:t>
                </a:r>
              </a:p>
            </c:rich>
          </c:tx>
          <c:layout/>
        </c:title>
        <c:tickLblPos val="nextTo"/>
        <c:spPr>
          <a:ln>
            <a:solidFill>
              <a:srgbClr val="334155"/>
            </a:solidFill>
          </a:ln>
        </c:spPr>
        <c:txPr>
          <a:bodyPr/>
          <a:lstStyle/>
          <a:p>
            <a:pPr>
              <a:defRPr sz="900" baseline="0">
                <a:solidFill>
                  <a:srgbClr val="94A3B8"/>
                </a:solidFill>
                <a:latin typeface="Segoe UI"/>
              </a:defRPr>
            </a:pPr>
            <a:endParaRPr lang="en-US"/>
          </a:p>
        </c:txPr>
        <c:crossAx val="50130002"/>
        <c:crosses val="autoZero"/>
        <c:auto val="1"/>
        <c:lblAlgn val="ctr"/>
        <c:lblOffset val="100"/>
      </c:catAx>
      <c:valAx>
        <c:axId val="50130002"/>
        <c:scaling>
          <c:orientation val="minMax"/>
        </c:scaling>
        <c:axPos val="l"/>
        <c:majorGridlines>
          <c:spPr>
            <a:ln>
              <a:solidFill>
                <a:srgbClr val="1E293B"/>
              </a:solidFill>
            </a:ln>
          </c:spPr>
        </c:majorGridlines>
        <c:title>
          <c:tx>
            <c:rich>
              <a:bodyPr rot="-5400000" vert="horz"/>
              <a:lstStyle/>
              <a:p>
                <a:pPr>
                  <a:defRPr sz="1000" baseline="0">
                    <a:solidFill>
                      <a:srgbClr val="94A3B8"/>
                    </a:solidFill>
                    <a:latin typeface="Segoe UI"/>
                  </a:defRPr>
                </a:pPr>
                <a:r>
                  <a:rPr lang="en-US" sz="1000" baseline="0">
                    <a:solidFill>
                      <a:srgbClr val="94A3B8"/>
                    </a:solidFill>
                    <a:latin typeface="Segoe UI"/>
                  </a:rPr>
                  <a:t>Tickets</a:t>
                </a:r>
              </a:p>
            </c:rich>
          </c:tx>
          <c:layout/>
        </c:title>
        <c:numFmt formatCode="General" sourceLinked="1"/>
        <c:tickLblPos val="nextTo"/>
        <c:spPr>
          <a:ln>
            <a:solidFill>
              <a:srgbClr val="334155"/>
            </a:solidFill>
          </a:ln>
        </c:spPr>
        <c:txPr>
          <a:bodyPr/>
          <a:lstStyle/>
          <a:p>
            <a:pPr>
              <a:defRPr sz="900" baseline="0">
                <a:solidFill>
                  <a:srgbClr val="94A3B8"/>
                </a:solidFill>
                <a:latin typeface="Segoe UI"/>
              </a:defRPr>
            </a:pPr>
            <a:endParaRPr lang="en-US"/>
          </a:p>
        </c:txPr>
        <c:crossAx val="50130001"/>
        <c:crosses val="autoZero"/>
        <c:crossBetween val="midCat"/>
      </c:valAx>
      <c:spPr>
        <a:solidFill>
          <a:srgbClr val="172033"/>
        </a:solidFill>
        <a:ln>
          <a:noFill/>
        </a:ln>
      </c:spPr>
    </c:plotArea>
    <c:legend>
      <c:legendPos val="b"/>
      <c:layout/>
      <c:txPr>
        <a:bodyPr/>
        <a:lstStyle/>
        <a:p>
          <a:pPr>
            <a:defRPr sz="1000" baseline="0">
              <a:solidFill>
                <a:srgbClr val="E5E7EB"/>
              </a:solidFill>
              <a:latin typeface="Segoe UI"/>
            </a:defRPr>
          </a:pPr>
          <a:endParaRPr lang="en-US"/>
        </a:p>
      </c:txPr>
    </c:legend>
    <c:plotVisOnly val="1"/>
  </c:chart>
  <c:spPr>
    <a:solidFill>
      <a:srgbClr val="0E1726"/>
    </a:solidFill>
    <a:ln>
      <a:noFill/>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1" baseline="0">
                <a:solidFill>
                  <a:srgbClr val="E5E7EB"/>
                </a:solidFill>
                <a:latin typeface="Segoe UI"/>
              </a:defRPr>
            </a:pPr>
            <a:r>
              <a:rPr lang="en-US" sz="1300" b="1" baseline="0">
                <a:solidFill>
                  <a:srgbClr val="E5E7EB"/>
                </a:solidFill>
                <a:latin typeface="Segoe UI"/>
              </a:rPr>
              <a:t>Daily Ticket Volume</a:t>
            </a:r>
          </a:p>
        </c:rich>
      </c:tx>
      <c:layout/>
    </c:title>
    <c:plotArea>
      <c:layout/>
      <c:lineChart>
        <c:grouping val="standard"/>
        <c:ser>
          <c:idx val="0"/>
          <c:order val="0"/>
          <c:tx>
            <c:v>Daily Tickets</c:v>
          </c:tx>
          <c:spPr>
            <a:ln w="28575">
              <a:solidFill>
                <a:srgbClr val="3FB6F9"/>
              </a:solidFill>
            </a:ln>
          </c:spPr>
          <c:marker>
            <c:symbol val="circle"/>
            <c:size val="6"/>
            <c:spPr>
              <a:solidFill>
                <a:srgbClr val="3FB6F9"/>
              </a:solidFill>
            </c:spPr>
          </c:marker>
          <c:dLbls>
            <c:txPr>
              <a:bodyPr/>
              <a:lstStyle/>
              <a:p>
                <a:pPr>
                  <a:defRPr baseline="0">
                    <a:solidFill>
                      <a:srgbClr val="FFFFFF"/>
                    </a:solidFill>
                  </a:defRPr>
                </a:pPr>
                <a:endParaRPr lang="en-US"/>
              </a:p>
            </c:txPr>
            <c:showVal val="1"/>
          </c:dLbls>
          <c:cat>
            <c:strRef>
              <c:f>Pivot_Calculations!$A$65:$A$68</c:f>
              <c:strCache>
                <c:ptCount val="4"/>
                <c:pt idx="0">
                  <c:v>09-May-2026</c:v>
                </c:pt>
                <c:pt idx="1">
                  <c:v>10-May-2026</c:v>
                </c:pt>
                <c:pt idx="2">
                  <c:v>11-May-2026</c:v>
                </c:pt>
                <c:pt idx="3">
                  <c:v>12-May-2026</c:v>
                </c:pt>
              </c:strCache>
            </c:strRef>
          </c:cat>
          <c:val>
            <c:numRef>
              <c:f>Pivot_Calculations!$B$65:$B$68</c:f>
              <c:numCache>
                <c:formatCode>General</c:formatCode>
                <c:ptCount val="4"/>
                <c:pt idx="0">
                  <c:v>21</c:v>
                </c:pt>
                <c:pt idx="1">
                  <c:v>17</c:v>
                </c:pt>
                <c:pt idx="2">
                  <c:v>16</c:v>
                </c:pt>
                <c:pt idx="3">
                  <c:v>8</c:v>
                </c:pt>
              </c:numCache>
            </c:numRef>
          </c:val>
        </c:ser>
        <c:marker val="1"/>
        <c:axId val="50140001"/>
        <c:axId val="50140002"/>
      </c:lineChart>
      <c:catAx>
        <c:axId val="50140001"/>
        <c:scaling>
          <c:orientation val="minMax"/>
        </c:scaling>
        <c:axPos val="b"/>
        <c:title>
          <c:tx>
            <c:rich>
              <a:bodyPr/>
              <a:lstStyle/>
              <a:p>
                <a:pPr>
                  <a:defRPr sz="1000" baseline="0">
                    <a:solidFill>
                      <a:srgbClr val="94A3B8"/>
                    </a:solidFill>
                    <a:latin typeface="Segoe UI"/>
                  </a:defRPr>
                </a:pPr>
                <a:r>
                  <a:rPr lang="en-US" sz="1000" baseline="0">
                    <a:solidFill>
                      <a:srgbClr val="94A3B8"/>
                    </a:solidFill>
                    <a:latin typeface="Segoe UI"/>
                  </a:rPr>
                  <a:t>Day</a:t>
                </a:r>
              </a:p>
            </c:rich>
          </c:tx>
          <c:layout/>
        </c:title>
        <c:tickLblPos val="nextTo"/>
        <c:spPr>
          <a:ln>
            <a:solidFill>
              <a:srgbClr val="334155"/>
            </a:solidFill>
          </a:ln>
        </c:spPr>
        <c:txPr>
          <a:bodyPr/>
          <a:lstStyle/>
          <a:p>
            <a:pPr>
              <a:defRPr sz="900" baseline="0">
                <a:solidFill>
                  <a:srgbClr val="94A3B8"/>
                </a:solidFill>
                <a:latin typeface="Segoe UI"/>
              </a:defRPr>
            </a:pPr>
            <a:endParaRPr lang="en-US"/>
          </a:p>
        </c:txPr>
        <c:crossAx val="50140002"/>
        <c:crosses val="autoZero"/>
        <c:auto val="1"/>
        <c:lblAlgn val="ctr"/>
        <c:lblOffset val="100"/>
      </c:catAx>
      <c:valAx>
        <c:axId val="50140002"/>
        <c:scaling>
          <c:orientation val="minMax"/>
        </c:scaling>
        <c:axPos val="l"/>
        <c:majorGridlines>
          <c:spPr>
            <a:ln>
              <a:solidFill>
                <a:srgbClr val="1E293B"/>
              </a:solidFill>
            </a:ln>
          </c:spPr>
        </c:majorGridlines>
        <c:title>
          <c:tx>
            <c:rich>
              <a:bodyPr rot="-5400000" vert="horz"/>
              <a:lstStyle/>
              <a:p>
                <a:pPr>
                  <a:defRPr sz="1000" baseline="0">
                    <a:solidFill>
                      <a:srgbClr val="94A3B8"/>
                    </a:solidFill>
                    <a:latin typeface="Segoe UI"/>
                  </a:defRPr>
                </a:pPr>
                <a:r>
                  <a:rPr lang="en-US" sz="1000" baseline="0">
                    <a:solidFill>
                      <a:srgbClr val="94A3B8"/>
                    </a:solidFill>
                    <a:latin typeface="Segoe UI"/>
                  </a:rPr>
                  <a:t>Tickets</a:t>
                </a:r>
              </a:p>
            </c:rich>
          </c:tx>
          <c:layout/>
        </c:title>
        <c:numFmt formatCode="General" sourceLinked="1"/>
        <c:tickLblPos val="nextTo"/>
        <c:spPr>
          <a:ln>
            <a:solidFill>
              <a:srgbClr val="334155"/>
            </a:solidFill>
          </a:ln>
        </c:spPr>
        <c:txPr>
          <a:bodyPr/>
          <a:lstStyle/>
          <a:p>
            <a:pPr>
              <a:defRPr sz="900" baseline="0">
                <a:solidFill>
                  <a:srgbClr val="94A3B8"/>
                </a:solidFill>
                <a:latin typeface="Segoe UI"/>
              </a:defRPr>
            </a:pPr>
            <a:endParaRPr lang="en-US"/>
          </a:p>
        </c:txPr>
        <c:crossAx val="50140001"/>
        <c:crosses val="autoZero"/>
        <c:crossBetween val="between"/>
      </c:valAx>
      <c:spPr>
        <a:solidFill>
          <a:srgbClr val="172033"/>
        </a:solidFill>
        <a:ln>
          <a:noFill/>
        </a:ln>
      </c:spPr>
    </c:plotArea>
    <c:legend>
      <c:legendPos val="b"/>
      <c:layout/>
      <c:txPr>
        <a:bodyPr/>
        <a:lstStyle/>
        <a:p>
          <a:pPr>
            <a:defRPr sz="1000" baseline="0">
              <a:solidFill>
                <a:srgbClr val="E5E7EB"/>
              </a:solidFill>
              <a:latin typeface="Segoe UI"/>
            </a:defRPr>
          </a:pPr>
          <a:endParaRPr lang="en-US"/>
        </a:p>
      </c:txPr>
    </c:legend>
    <c:plotVisOnly val="1"/>
  </c:chart>
  <c:spPr>
    <a:solidFill>
      <a:srgbClr val="0E1726"/>
    </a:solidFill>
    <a:ln>
      <a:noFill/>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1" baseline="0">
                <a:solidFill>
                  <a:srgbClr val="E5E7EB"/>
                </a:solidFill>
                <a:latin typeface="Segoe UI"/>
              </a:defRPr>
            </a:pPr>
            <a:r>
              <a:rPr lang="en-US" sz="1300" b="1" baseline="0">
                <a:solidFill>
                  <a:srgbClr val="E5E7EB"/>
                </a:solidFill>
                <a:latin typeface="Segoe UI"/>
              </a:rPr>
              <a:t>SLA Met vs Breach</a:t>
            </a:r>
          </a:p>
        </c:rich>
      </c:tx>
      <c:layout/>
    </c:title>
    <c:plotArea>
      <c:layout/>
      <c:doughnutChart>
        <c:varyColors val="1"/>
        <c:ser>
          <c:idx val="0"/>
          <c:order val="0"/>
          <c:tx>
            <c:v>SLA</c:v>
          </c:tx>
          <c:dPt>
            <c:idx val="0"/>
            <c:spPr>
              <a:solidFill>
                <a:srgbClr val="22C55E"/>
              </a:solidFill>
            </c:spPr>
          </c:dPt>
          <c:dPt>
            <c:idx val="1"/>
            <c:spPr>
              <a:solidFill>
                <a:srgbClr val="EF4444"/>
              </a:solidFill>
            </c:spPr>
          </c:dPt>
          <c:dLbls>
            <c:txPr>
              <a:bodyPr/>
              <a:lstStyle/>
              <a:p>
                <a:pPr>
                  <a:defRPr b="1" baseline="0">
                    <a:solidFill>
                      <a:srgbClr val="FFFFFF"/>
                    </a:solidFill>
                  </a:defRPr>
                </a:pPr>
                <a:endParaRPr lang="en-US"/>
              </a:p>
            </c:txPr>
            <c:showPercent val="1"/>
          </c:dLbls>
          <c:cat>
            <c:strRef>
              <c:f>Pivot_Calculations!$A$78:$A$79</c:f>
              <c:strCache>
                <c:ptCount val="2"/>
                <c:pt idx="0">
                  <c:v>Met</c:v>
                </c:pt>
                <c:pt idx="1">
                  <c:v>Breach</c:v>
                </c:pt>
              </c:strCache>
            </c:strRef>
          </c:cat>
          <c:val>
            <c:numRef>
              <c:f>Pivot_Calculations!$B$78:$B$79</c:f>
              <c:numCache>
                <c:formatCode>General</c:formatCode>
                <c:ptCount val="2"/>
                <c:pt idx="0">
                  <c:v>55</c:v>
                </c:pt>
                <c:pt idx="1">
                  <c:v>7</c:v>
                </c:pt>
              </c:numCache>
            </c:numRef>
          </c:val>
        </c:ser>
        <c:firstSliceAng val="180"/>
        <c:holeSize val="50"/>
      </c:doughnutChart>
      <c:spPr>
        <a:solidFill>
          <a:srgbClr val="172033"/>
        </a:solidFill>
        <a:ln>
          <a:noFill/>
        </a:ln>
      </c:spPr>
    </c:plotArea>
    <c:legend>
      <c:legendPos val="b"/>
      <c:layout/>
      <c:txPr>
        <a:bodyPr/>
        <a:lstStyle/>
        <a:p>
          <a:pPr rtl="0">
            <a:defRPr sz="1000" baseline="0">
              <a:solidFill>
                <a:srgbClr val="E5E7EB"/>
              </a:solidFill>
              <a:latin typeface="Segoe UI"/>
            </a:defRPr>
          </a:pPr>
          <a:endParaRPr lang="en-US"/>
        </a:p>
      </c:txPr>
    </c:legend>
    <c:plotVisOnly val="1"/>
  </c:chart>
  <c:spPr>
    <a:solidFill>
      <a:srgbClr val="0E1726"/>
    </a:solidFill>
    <a:ln>
      <a:noFill/>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300" b="1" baseline="0">
                <a:solidFill>
                  <a:srgbClr val="E5E7EB"/>
                </a:solidFill>
                <a:latin typeface="Segoe UI"/>
              </a:defRPr>
            </a:pPr>
            <a:r>
              <a:rPr lang="en-US" sz="1300" b="1" baseline="0">
                <a:solidFill>
                  <a:srgbClr val="E5E7EB"/>
                </a:solidFill>
                <a:latin typeface="Segoe UI"/>
              </a:rPr>
              <a:t>Tickets Resolved by Department</a:t>
            </a:r>
          </a:p>
        </c:rich>
      </c:tx>
      <c:layout/>
    </c:title>
    <c:plotArea>
      <c:layout/>
      <c:barChart>
        <c:barDir val="bar"/>
        <c:grouping val="clustered"/>
        <c:ser>
          <c:idx val="0"/>
          <c:order val="0"/>
          <c:tx>
            <c:v>Tickets Resolved</c:v>
          </c:tx>
          <c:spPr>
            <a:solidFill>
              <a:srgbClr val="3FB6F9"/>
            </a:solidFill>
          </c:spPr>
          <c:dLbls>
            <c:txPr>
              <a:bodyPr/>
              <a:lstStyle/>
              <a:p>
                <a:pPr>
                  <a:defRPr baseline="0">
                    <a:solidFill>
                      <a:srgbClr val="FFFFFF"/>
                    </a:solidFill>
                  </a:defRPr>
                </a:pPr>
                <a:endParaRPr lang="en-US"/>
              </a:p>
            </c:txPr>
            <c:showVal val="1"/>
          </c:dLbls>
          <c:cat>
            <c:strRef>
              <c:f>Pivot_Calculations!$A$72:$A$74</c:f>
              <c:strCache>
                <c:ptCount val="3"/>
                <c:pt idx="0">
                  <c:v>Maintenance</c:v>
                </c:pt>
                <c:pt idx="1">
                  <c:v>Operations</c:v>
                </c:pt>
                <c:pt idx="2">
                  <c:v>Store Operations</c:v>
                </c:pt>
              </c:strCache>
            </c:strRef>
          </c:cat>
          <c:val>
            <c:numRef>
              <c:f>Pivot_Calculations!$B$72:$B$74</c:f>
              <c:numCache>
                <c:formatCode>General</c:formatCode>
                <c:ptCount val="3"/>
                <c:pt idx="0">
                  <c:v>35</c:v>
                </c:pt>
                <c:pt idx="1">
                  <c:v>4</c:v>
                </c:pt>
                <c:pt idx="2">
                  <c:v>1</c:v>
                </c:pt>
              </c:numCache>
            </c:numRef>
          </c:val>
        </c:ser>
        <c:axId val="50160001"/>
        <c:axId val="50160002"/>
      </c:barChart>
      <c:catAx>
        <c:axId val="50160001"/>
        <c:scaling>
          <c:orientation val="minMax"/>
        </c:scaling>
        <c:axPos val="l"/>
        <c:majorGridlines>
          <c:spPr>
            <a:ln>
              <a:solidFill>
                <a:srgbClr val="1E293B"/>
              </a:solidFill>
            </a:ln>
          </c:spPr>
        </c:majorGridlines>
        <c:title>
          <c:tx>
            <c:rich>
              <a:bodyPr rot="-5400000" vert="horz"/>
              <a:lstStyle/>
              <a:p>
                <a:pPr>
                  <a:defRPr sz="1000" baseline="0">
                    <a:solidFill>
                      <a:srgbClr val="94A3B8"/>
                    </a:solidFill>
                    <a:latin typeface="Segoe UI"/>
                  </a:defRPr>
                </a:pPr>
                <a:r>
                  <a:rPr lang="en-US" sz="1000" baseline="0">
                    <a:solidFill>
                      <a:srgbClr val="94A3B8"/>
                    </a:solidFill>
                    <a:latin typeface="Segoe UI"/>
                  </a:rPr>
                  <a:t>Department</a:t>
                </a:r>
              </a:p>
            </c:rich>
          </c:tx>
          <c:layout/>
        </c:title>
        <c:tickLblPos val="nextTo"/>
        <c:spPr>
          <a:ln>
            <a:solidFill>
              <a:srgbClr val="334155"/>
            </a:solidFill>
          </a:ln>
        </c:spPr>
        <c:txPr>
          <a:bodyPr/>
          <a:lstStyle/>
          <a:p>
            <a:pPr>
              <a:defRPr sz="900" baseline="0">
                <a:solidFill>
                  <a:srgbClr val="94A3B8"/>
                </a:solidFill>
                <a:latin typeface="Segoe UI"/>
              </a:defRPr>
            </a:pPr>
            <a:endParaRPr lang="en-US"/>
          </a:p>
        </c:txPr>
        <c:crossAx val="50160002"/>
        <c:crosses val="autoZero"/>
        <c:auto val="1"/>
        <c:lblAlgn val="ctr"/>
        <c:lblOffset val="100"/>
      </c:catAx>
      <c:valAx>
        <c:axId val="50160002"/>
        <c:scaling>
          <c:orientation val="minMax"/>
        </c:scaling>
        <c:axPos val="b"/>
        <c:title>
          <c:tx>
            <c:rich>
              <a:bodyPr/>
              <a:lstStyle/>
              <a:p>
                <a:pPr>
                  <a:defRPr sz="1000" baseline="0">
                    <a:solidFill>
                      <a:srgbClr val="94A3B8"/>
                    </a:solidFill>
                    <a:latin typeface="Segoe UI"/>
                  </a:defRPr>
                </a:pPr>
                <a:r>
                  <a:rPr lang="en-US" sz="1000" baseline="0">
                    <a:solidFill>
                      <a:srgbClr val="94A3B8"/>
                    </a:solidFill>
                    <a:latin typeface="Segoe UI"/>
                  </a:rPr>
                  <a:t>Tickets</a:t>
                </a:r>
              </a:p>
            </c:rich>
          </c:tx>
          <c:layout/>
        </c:title>
        <c:numFmt formatCode="General" sourceLinked="1"/>
        <c:tickLblPos val="nextTo"/>
        <c:spPr>
          <a:ln>
            <a:solidFill>
              <a:srgbClr val="334155"/>
            </a:solidFill>
          </a:ln>
        </c:spPr>
        <c:txPr>
          <a:bodyPr/>
          <a:lstStyle/>
          <a:p>
            <a:pPr>
              <a:defRPr sz="900" baseline="0">
                <a:solidFill>
                  <a:srgbClr val="94A3B8"/>
                </a:solidFill>
                <a:latin typeface="Segoe UI"/>
              </a:defRPr>
            </a:pPr>
            <a:endParaRPr lang="en-US"/>
          </a:p>
        </c:txPr>
        <c:crossAx val="50160001"/>
        <c:crosses val="autoZero"/>
        <c:crossBetween val="between"/>
      </c:valAx>
      <c:spPr>
        <a:solidFill>
          <a:srgbClr val="172033"/>
        </a:solidFill>
        <a:ln>
          <a:noFill/>
        </a:ln>
      </c:spPr>
    </c:plotArea>
    <c:legend>
      <c:legendPos val="b"/>
      <c:layout/>
      <c:txPr>
        <a:bodyPr/>
        <a:lstStyle/>
        <a:p>
          <a:pPr>
            <a:defRPr sz="1000" baseline="0">
              <a:solidFill>
                <a:srgbClr val="E5E7EB"/>
              </a:solidFill>
              <a:latin typeface="Segoe UI"/>
            </a:defRPr>
          </a:pPr>
          <a:endParaRPr lang="en-US"/>
        </a:p>
      </c:txPr>
    </c:legend>
    <c:plotVisOnly val="1"/>
  </c:chart>
  <c:spPr>
    <a:solidFill>
      <a:srgbClr val="0E1726"/>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xdr:col>
      <xdr:colOff>38100</xdr:colOff>
      <xdr:row>15</xdr:row>
      <xdr:rowOff>38100</xdr:rowOff>
    </xdr:from>
    <xdr:to>
      <xdr:col>6</xdr:col>
      <xdr:colOff>38100</xdr:colOff>
      <xdr:row>30</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15</xdr:row>
      <xdr:rowOff>38100</xdr:rowOff>
    </xdr:from>
    <xdr:to>
      <xdr:col>10</xdr:col>
      <xdr:colOff>38100</xdr:colOff>
      <xdr:row>30</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38100</xdr:colOff>
      <xdr:row>15</xdr:row>
      <xdr:rowOff>38100</xdr:rowOff>
    </xdr:from>
    <xdr:to>
      <xdr:col>15</xdr:col>
      <xdr:colOff>38100</xdr:colOff>
      <xdr:row>30</xdr:row>
      <xdr:rowOff>57150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38100</xdr:colOff>
      <xdr:row>32</xdr:row>
      <xdr:rowOff>38100</xdr:rowOff>
    </xdr:from>
    <xdr:to>
      <xdr:col>6</xdr:col>
      <xdr:colOff>38100</xdr:colOff>
      <xdr:row>48</xdr:row>
      <xdr:rowOff>9525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38100</xdr:colOff>
      <xdr:row>32</xdr:row>
      <xdr:rowOff>38100</xdr:rowOff>
    </xdr:from>
    <xdr:to>
      <xdr:col>10</xdr:col>
      <xdr:colOff>38100</xdr:colOff>
      <xdr:row>48</xdr:row>
      <xdr:rowOff>9525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38100</xdr:colOff>
      <xdr:row>32</xdr:row>
      <xdr:rowOff>38100</xdr:rowOff>
    </xdr:from>
    <xdr:to>
      <xdr:col>15</xdr:col>
      <xdr:colOff>38100</xdr:colOff>
      <xdr:row>48</xdr:row>
      <xdr:rowOff>9525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0</xdr:colOff>
      <xdr:row>19</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0</xdr:rowOff>
    </xdr:from>
    <xdr:to>
      <xdr:col>6</xdr:col>
      <xdr:colOff>0</xdr:colOff>
      <xdr:row>31</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0</xdr:colOff>
      <xdr:row>23</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21</xdr:row>
      <xdr:rowOff>0</xdr:rowOff>
    </xdr:from>
    <xdr:to>
      <xdr:col>6</xdr:col>
      <xdr:colOff>0</xdr:colOff>
      <xdr:row>35</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21</xdr:row>
      <xdr:rowOff>0</xdr:rowOff>
    </xdr:from>
    <xdr:to>
      <xdr:col>12</xdr:col>
      <xdr:colOff>0</xdr:colOff>
      <xdr:row>35</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6</xdr:row>
      <xdr:rowOff>0</xdr:rowOff>
    </xdr:from>
    <xdr:to>
      <xdr:col>12</xdr:col>
      <xdr:colOff>228600</xdr:colOff>
      <xdr:row>19</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6</xdr:row>
      <xdr:rowOff>0</xdr:rowOff>
    </xdr:from>
    <xdr:to>
      <xdr:col>11</xdr:col>
      <xdr:colOff>0</xdr:colOff>
      <xdr:row>19</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18</xdr:row>
      <xdr:rowOff>0</xdr:rowOff>
    </xdr:from>
    <xdr:to>
      <xdr:col>11</xdr:col>
      <xdr:colOff>228600</xdr:colOff>
      <xdr:row>35</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6</xdr:row>
      <xdr:rowOff>0</xdr:rowOff>
    </xdr:from>
    <xdr:to>
      <xdr:col>9</xdr:col>
      <xdr:colOff>457200</xdr:colOff>
      <xdr:row>18</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0</xdr:rowOff>
    </xdr:from>
    <xdr:to>
      <xdr:col>10</xdr:col>
      <xdr:colOff>0</xdr:colOff>
      <xdr:row>32</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id="1" name="Tickets" displayName="Tickets" ref="A1:Y63" totalsRowShown="0">
  <autoFilter ref="A1:Y63"/>
  <tableColumns count="25">
    <tableColumn id="1" name="Issue ID"/>
    <tableColumn id="2" name="Reported At"/>
    <tableColumn id="3" name="Reported Date"/>
    <tableColumn id="4" name="Reported Month"/>
    <tableColumn id="5" name="Reporter"/>
    <tableColumn id="6" name="Reporter ID"/>
    <tableColumn id="7" name="Designation"/>
    <tableColumn id="8" name="Department"/>
    <tableColumn id="9" name="State"/>
    <tableColumn id="10" name="City"/>
    <tableColumn id="11" name="Reporter Location"/>
    <tableColumn id="12" name="Issue Title"/>
    <tableColumn id="13" name="Issue Type"/>
    <tableColumn id="14" name="Severity"/>
    <tableColumn id="15" name="Status"/>
    <tableColumn id="16" name="Aging (Days)"/>
    <tableColumn id="17" name="Aging Bucket"/>
    <tableColumn id="18" name="SLA Target (Days)"/>
    <tableColumn id="19" name="SLA Status"/>
    <tableColumn id="20" name="Resolved At"/>
    <tableColumn id="21" name="Resolution (Hrs)"/>
    <tableColumn id="22" name="Resolver"/>
    <tableColumn id="23" name="Resolver Department"/>
    <tableColumn id="24" name="Issue Location"/>
    <tableColumn id="25" name="Resolved Remarks"/>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sheetPr>
    <tabColor rgb="FF3FB6F9"/>
  </sheetPr>
  <dimension ref="A1:Y63"/>
  <sheetViews>
    <sheetView showGridLines="0" zoomScale="95" zoomScaleNormal="95" workbookViewId="0">
      <pane ySplit="1" topLeftCell="A2" activePane="bottomLeft" state="frozen"/>
      <selection pane="bottomLeft"/>
    </sheetView>
  </sheetViews>
  <sheetFormatPr defaultRowHeight="15"/>
  <cols>
    <col min="1" max="1" width="9.7109375" customWidth="1"/>
    <col min="2" max="2" width="17.7109375" customWidth="1"/>
    <col min="3" max="3" width="13.7109375" customWidth="1"/>
    <col min="4" max="4" width="12.7109375" customWidth="1"/>
    <col min="5" max="5" width="22.7109375" customWidth="1"/>
    <col min="6" max="6" width="14.7109375" customWidth="1"/>
    <col min="7" max="7" width="26.7109375" customWidth="1"/>
    <col min="8" max="8" width="18.7109375" customWidth="1"/>
    <col min="9" max="10" width="14.7109375" customWidth="1"/>
    <col min="11" max="11" width="22.7109375" customWidth="1"/>
    <col min="12" max="12" width="38.7109375" customWidth="1"/>
    <col min="13" max="13" width="22.7109375" customWidth="1"/>
    <col min="14" max="14" width="13.7109375" customWidth="1"/>
    <col min="15" max="16" width="11.7109375" customWidth="1"/>
    <col min="17" max="17" width="13.7109375" customWidth="1"/>
    <col min="18" max="19" width="11.7109375" customWidth="1"/>
    <col min="20" max="20" width="17.7109375" customWidth="1"/>
    <col min="21" max="21" width="13.7109375" customWidth="1"/>
    <col min="22" max="22" width="22.7109375" customWidth="1"/>
    <col min="23" max="23" width="18.7109375" customWidth="1"/>
    <col min="24" max="24" width="22.7109375" customWidth="1"/>
    <col min="25" max="25" width="30.7109375" customWidth="1"/>
  </cols>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s="2">
        <v>6707</v>
      </c>
      <c r="B2" s="3">
        <v>46154.44930555556</v>
      </c>
      <c r="C2" s="4">
        <v>46154</v>
      </c>
      <c r="D2" s="5" t="s">
        <v>25</v>
      </c>
      <c r="E2" s="5" t="s">
        <v>26</v>
      </c>
      <c r="F2" s="5" t="s">
        <v>27</v>
      </c>
      <c r="G2" s="5" t="s">
        <v>28</v>
      </c>
      <c r="H2" s="5" t="s">
        <v>29</v>
      </c>
      <c r="I2" s="5" t="s">
        <v>30</v>
      </c>
      <c r="J2" s="5" t="s">
        <v>31</v>
      </c>
      <c r="K2" s="5" t="s">
        <v>32</v>
      </c>
      <c r="L2" s="5" t="s">
        <v>33</v>
      </c>
      <c r="M2" s="5" t="s">
        <v>34</v>
      </c>
      <c r="N2" s="5" t="s">
        <v>35</v>
      </c>
      <c r="O2" s="5" t="s">
        <v>36</v>
      </c>
      <c r="P2" s="6">
        <v>0.55</v>
      </c>
      <c r="Q2" s="5" t="s">
        <v>37</v>
      </c>
      <c r="R2" s="2">
        <v>1</v>
      </c>
      <c r="S2" s="5" t="s">
        <v>38</v>
      </c>
      <c r="X2" s="5" t="s">
        <v>39</v>
      </c>
    </row>
    <row r="3" spans="1:25">
      <c r="A3" s="2">
        <v>6706</v>
      </c>
      <c r="B3" s="3">
        <v>46154.35902777778</v>
      </c>
      <c r="C3" s="4">
        <v>46154</v>
      </c>
      <c r="D3" s="5" t="s">
        <v>25</v>
      </c>
      <c r="E3" s="5" t="s">
        <v>40</v>
      </c>
      <c r="F3" s="5" t="s">
        <v>41</v>
      </c>
      <c r="G3" s="5" t="s">
        <v>42</v>
      </c>
      <c r="H3" s="5" t="s">
        <v>43</v>
      </c>
      <c r="I3" s="5" t="s">
        <v>30</v>
      </c>
      <c r="J3" s="5" t="s">
        <v>31</v>
      </c>
      <c r="K3" s="5" t="s">
        <v>44</v>
      </c>
      <c r="L3" s="5" t="s">
        <v>45</v>
      </c>
      <c r="M3" s="5" t="s">
        <v>34</v>
      </c>
      <c r="N3" s="5" t="s">
        <v>46</v>
      </c>
      <c r="O3" s="5" t="s">
        <v>36</v>
      </c>
      <c r="P3" s="6">
        <v>0.64</v>
      </c>
      <c r="Q3" s="5" t="s">
        <v>37</v>
      </c>
      <c r="R3" s="2">
        <v>5</v>
      </c>
      <c r="S3" s="5" t="s">
        <v>38</v>
      </c>
      <c r="X3" s="5" t="s">
        <v>44</v>
      </c>
    </row>
    <row r="4" spans="1:25">
      <c r="A4" s="2">
        <v>6705</v>
      </c>
      <c r="B4" s="3">
        <v>46154.30555555555</v>
      </c>
      <c r="C4" s="4">
        <v>46154</v>
      </c>
      <c r="D4" s="5" t="s">
        <v>25</v>
      </c>
      <c r="E4" s="5" t="s">
        <v>47</v>
      </c>
      <c r="F4" s="5" t="s">
        <v>48</v>
      </c>
      <c r="G4" s="5" t="s">
        <v>49</v>
      </c>
      <c r="H4" s="5" t="s">
        <v>29</v>
      </c>
      <c r="I4" s="5" t="s">
        <v>30</v>
      </c>
      <c r="J4" s="5" t="s">
        <v>31</v>
      </c>
      <c r="K4" s="5" t="s">
        <v>50</v>
      </c>
      <c r="L4" s="5" t="s">
        <v>51</v>
      </c>
      <c r="M4" s="5" t="s">
        <v>52</v>
      </c>
      <c r="N4" s="5" t="s">
        <v>35</v>
      </c>
      <c r="O4" s="5" t="s">
        <v>36</v>
      </c>
      <c r="P4" s="6">
        <v>0.6899999999999999</v>
      </c>
      <c r="Q4" s="5" t="s">
        <v>37</v>
      </c>
      <c r="R4" s="2">
        <v>1</v>
      </c>
      <c r="S4" s="5" t="s">
        <v>38</v>
      </c>
      <c r="X4" s="5" t="s">
        <v>53</v>
      </c>
    </row>
    <row r="5" spans="1:25">
      <c r="A5" s="2">
        <v>6704</v>
      </c>
      <c r="B5" s="3">
        <v>46154.30416666667</v>
      </c>
      <c r="C5" s="4">
        <v>46154</v>
      </c>
      <c r="D5" s="5" t="s">
        <v>25</v>
      </c>
      <c r="E5" s="5" t="s">
        <v>47</v>
      </c>
      <c r="F5" s="5" t="s">
        <v>48</v>
      </c>
      <c r="G5" s="5" t="s">
        <v>49</v>
      </c>
      <c r="H5" s="5" t="s">
        <v>29</v>
      </c>
      <c r="I5" s="5" t="s">
        <v>30</v>
      </c>
      <c r="J5" s="5" t="s">
        <v>31</v>
      </c>
      <c r="K5" s="5" t="s">
        <v>50</v>
      </c>
      <c r="L5" s="5" t="s">
        <v>54</v>
      </c>
      <c r="M5" s="5" t="s">
        <v>52</v>
      </c>
      <c r="N5" s="5" t="s">
        <v>35</v>
      </c>
      <c r="O5" s="5" t="s">
        <v>55</v>
      </c>
      <c r="P5" s="6">
        <v>0.11</v>
      </c>
      <c r="Q5" s="5" t="s">
        <v>37</v>
      </c>
      <c r="R5" s="2">
        <v>1</v>
      </c>
      <c r="S5" s="5" t="s">
        <v>38</v>
      </c>
      <c r="T5" s="3">
        <v>46154.41875</v>
      </c>
      <c r="U5" s="6">
        <v>2.75</v>
      </c>
      <c r="V5" s="5" t="s">
        <v>56</v>
      </c>
      <c r="W5" s="5" t="s">
        <v>29</v>
      </c>
      <c r="X5" s="5" t="s">
        <v>57</v>
      </c>
      <c r="Y5" s="5" t="s">
        <v>58</v>
      </c>
    </row>
    <row r="6" spans="1:25">
      <c r="A6" s="2">
        <v>6703</v>
      </c>
      <c r="B6" s="3">
        <v>46154.30347222222</v>
      </c>
      <c r="C6" s="4">
        <v>46154</v>
      </c>
      <c r="D6" s="5" t="s">
        <v>25</v>
      </c>
      <c r="E6" s="5" t="s">
        <v>47</v>
      </c>
      <c r="F6" s="5" t="s">
        <v>48</v>
      </c>
      <c r="G6" s="5" t="s">
        <v>49</v>
      </c>
      <c r="H6" s="5" t="s">
        <v>29</v>
      </c>
      <c r="I6" s="5" t="s">
        <v>30</v>
      </c>
      <c r="J6" s="5" t="s">
        <v>31</v>
      </c>
      <c r="K6" s="5" t="s">
        <v>50</v>
      </c>
      <c r="L6" s="5" t="s">
        <v>59</v>
      </c>
      <c r="M6" s="5" t="s">
        <v>52</v>
      </c>
      <c r="N6" s="5" t="s">
        <v>35</v>
      </c>
      <c r="O6" s="5" t="s">
        <v>36</v>
      </c>
      <c r="P6" s="6">
        <v>0.7</v>
      </c>
      <c r="Q6" s="5" t="s">
        <v>37</v>
      </c>
      <c r="R6" s="2">
        <v>1</v>
      </c>
      <c r="S6" s="5" t="s">
        <v>38</v>
      </c>
      <c r="X6" s="5" t="s">
        <v>60</v>
      </c>
    </row>
    <row r="7" spans="1:25">
      <c r="A7" s="2">
        <v>6702</v>
      </c>
      <c r="B7" s="3">
        <v>46154.30277777778</v>
      </c>
      <c r="C7" s="4">
        <v>46154</v>
      </c>
      <c r="D7" s="5" t="s">
        <v>25</v>
      </c>
      <c r="E7" s="5" t="s">
        <v>47</v>
      </c>
      <c r="F7" s="5" t="s">
        <v>48</v>
      </c>
      <c r="G7" s="5" t="s">
        <v>49</v>
      </c>
      <c r="H7" s="5" t="s">
        <v>29</v>
      </c>
      <c r="I7" s="5" t="s">
        <v>30</v>
      </c>
      <c r="J7" s="5" t="s">
        <v>31</v>
      </c>
      <c r="K7" s="5" t="s">
        <v>50</v>
      </c>
      <c r="L7" s="5" t="s">
        <v>61</v>
      </c>
      <c r="M7" s="5" t="s">
        <v>52</v>
      </c>
      <c r="N7" s="5" t="s">
        <v>35</v>
      </c>
      <c r="O7" s="5" t="s">
        <v>36</v>
      </c>
      <c r="P7" s="6">
        <v>0.7</v>
      </c>
      <c r="Q7" s="5" t="s">
        <v>37</v>
      </c>
      <c r="R7" s="2">
        <v>1</v>
      </c>
      <c r="S7" s="5" t="s">
        <v>38</v>
      </c>
      <c r="X7" s="5" t="s">
        <v>62</v>
      </c>
    </row>
    <row r="8" spans="1:25">
      <c r="A8" s="2">
        <v>6701</v>
      </c>
      <c r="B8" s="3">
        <v>46154.30208333334</v>
      </c>
      <c r="C8" s="4">
        <v>46154</v>
      </c>
      <c r="D8" s="5" t="s">
        <v>25</v>
      </c>
      <c r="E8" s="5" t="s">
        <v>47</v>
      </c>
      <c r="F8" s="5" t="s">
        <v>48</v>
      </c>
      <c r="G8" s="5" t="s">
        <v>49</v>
      </c>
      <c r="H8" s="5" t="s">
        <v>29</v>
      </c>
      <c r="I8" s="5" t="s">
        <v>30</v>
      </c>
      <c r="J8" s="5" t="s">
        <v>31</v>
      </c>
      <c r="K8" s="5" t="s">
        <v>50</v>
      </c>
      <c r="L8" s="5" t="s">
        <v>61</v>
      </c>
      <c r="M8" s="5" t="s">
        <v>52</v>
      </c>
      <c r="N8" s="5" t="s">
        <v>35</v>
      </c>
      <c r="O8" s="5" t="s">
        <v>55</v>
      </c>
      <c r="P8" s="6">
        <v>0.12</v>
      </c>
      <c r="Q8" s="5" t="s">
        <v>37</v>
      </c>
      <c r="R8" s="2">
        <v>1</v>
      </c>
      <c r="S8" s="5" t="s">
        <v>38</v>
      </c>
      <c r="T8" s="3">
        <v>46154.42152777778</v>
      </c>
      <c r="U8" s="6">
        <v>2.87</v>
      </c>
      <c r="V8" s="5" t="s">
        <v>56</v>
      </c>
      <c r="W8" s="5" t="s">
        <v>29</v>
      </c>
      <c r="X8" s="5" t="s">
        <v>63</v>
      </c>
      <c r="Y8" s="5" t="s">
        <v>64</v>
      </c>
    </row>
    <row r="9" spans="1:25">
      <c r="A9" s="2">
        <v>6700</v>
      </c>
      <c r="B9" s="3">
        <v>46154.30138888889</v>
      </c>
      <c r="C9" s="4">
        <v>46154</v>
      </c>
      <c r="D9" s="5" t="s">
        <v>25</v>
      </c>
      <c r="E9" s="5" t="s">
        <v>47</v>
      </c>
      <c r="F9" s="5" t="s">
        <v>48</v>
      </c>
      <c r="G9" s="5" t="s">
        <v>49</v>
      </c>
      <c r="H9" s="5" t="s">
        <v>29</v>
      </c>
      <c r="I9" s="5" t="s">
        <v>30</v>
      </c>
      <c r="J9" s="5" t="s">
        <v>31</v>
      </c>
      <c r="K9" s="5" t="s">
        <v>50</v>
      </c>
      <c r="L9" s="5" t="s">
        <v>65</v>
      </c>
      <c r="M9" s="5" t="s">
        <v>52</v>
      </c>
      <c r="N9" s="5" t="s">
        <v>35</v>
      </c>
      <c r="O9" s="5" t="s">
        <v>36</v>
      </c>
      <c r="P9" s="6">
        <v>0.7</v>
      </c>
      <c r="Q9" s="5" t="s">
        <v>37</v>
      </c>
      <c r="R9" s="2">
        <v>1</v>
      </c>
      <c r="S9" s="5" t="s">
        <v>38</v>
      </c>
      <c r="X9" s="5" t="s">
        <v>66</v>
      </c>
    </row>
    <row r="10" spans="1:25">
      <c r="A10" s="2">
        <v>6699</v>
      </c>
      <c r="B10" s="3">
        <v>46153.84027777778</v>
      </c>
      <c r="C10" s="4">
        <v>46153</v>
      </c>
      <c r="D10" s="5" t="s">
        <v>25</v>
      </c>
      <c r="E10" s="5" t="s">
        <v>67</v>
      </c>
      <c r="F10" s="5" t="s">
        <v>68</v>
      </c>
      <c r="G10" s="5" t="s">
        <v>69</v>
      </c>
      <c r="H10" s="5" t="s">
        <v>43</v>
      </c>
      <c r="I10" s="5" t="s">
        <v>70</v>
      </c>
      <c r="J10" s="5" t="s">
        <v>71</v>
      </c>
      <c r="K10" s="5" t="s">
        <v>66</v>
      </c>
      <c r="L10" s="5" t="s">
        <v>72</v>
      </c>
      <c r="M10" s="5" t="s">
        <v>34</v>
      </c>
      <c r="N10" s="5" t="s">
        <v>73</v>
      </c>
      <c r="O10" s="5" t="s">
        <v>36</v>
      </c>
      <c r="P10" s="6">
        <v>1.16</v>
      </c>
      <c r="Q10" s="5" t="s">
        <v>74</v>
      </c>
      <c r="R10" s="2">
        <v>2</v>
      </c>
      <c r="S10" s="5" t="s">
        <v>38</v>
      </c>
      <c r="X10" s="5" t="s">
        <v>66</v>
      </c>
    </row>
    <row r="11" spans="1:25">
      <c r="A11" s="2">
        <v>6698</v>
      </c>
      <c r="B11" s="3">
        <v>46153.82638888889</v>
      </c>
      <c r="C11" s="4">
        <v>46153</v>
      </c>
      <c r="D11" s="5" t="s">
        <v>25</v>
      </c>
      <c r="E11" s="5" t="s">
        <v>75</v>
      </c>
      <c r="F11" s="5" t="s">
        <v>76</v>
      </c>
      <c r="G11" s="5" t="s">
        <v>69</v>
      </c>
      <c r="H11" s="5" t="s">
        <v>43</v>
      </c>
      <c r="I11" s="5" t="s">
        <v>30</v>
      </c>
      <c r="J11" s="5" t="s">
        <v>31</v>
      </c>
      <c r="K11" s="5" t="s">
        <v>77</v>
      </c>
      <c r="L11" s="5" t="s">
        <v>78</v>
      </c>
      <c r="M11" s="5" t="s">
        <v>34</v>
      </c>
      <c r="N11" s="5" t="s">
        <v>35</v>
      </c>
      <c r="O11" s="5" t="s">
        <v>36</v>
      </c>
      <c r="P11" s="6">
        <v>1.17</v>
      </c>
      <c r="Q11" s="5" t="s">
        <v>74</v>
      </c>
      <c r="R11" s="2">
        <v>1</v>
      </c>
      <c r="S11" s="5" t="s">
        <v>79</v>
      </c>
      <c r="X11" s="5" t="s">
        <v>77</v>
      </c>
    </row>
    <row r="12" spans="1:25">
      <c r="A12" s="2">
        <v>6697</v>
      </c>
      <c r="B12" s="3">
        <v>46153.80138888889</v>
      </c>
      <c r="C12" s="4">
        <v>46153</v>
      </c>
      <c r="D12" s="5" t="s">
        <v>25</v>
      </c>
      <c r="E12" s="5" t="s">
        <v>80</v>
      </c>
      <c r="F12" s="5" t="s">
        <v>81</v>
      </c>
      <c r="G12" s="5" t="s">
        <v>82</v>
      </c>
      <c r="H12" s="5" t="s">
        <v>43</v>
      </c>
      <c r="I12" s="5" t="s">
        <v>30</v>
      </c>
      <c r="J12" s="5" t="s">
        <v>31</v>
      </c>
      <c r="K12" s="5" t="s">
        <v>83</v>
      </c>
      <c r="L12" s="5" t="s">
        <v>84</v>
      </c>
      <c r="M12" s="5" t="s">
        <v>34</v>
      </c>
      <c r="N12" s="5" t="s">
        <v>73</v>
      </c>
      <c r="O12" s="5" t="s">
        <v>36</v>
      </c>
      <c r="P12" s="6">
        <v>1.2</v>
      </c>
      <c r="Q12" s="5" t="s">
        <v>74</v>
      </c>
      <c r="R12" s="2">
        <v>2</v>
      </c>
      <c r="S12" s="5" t="s">
        <v>38</v>
      </c>
      <c r="X12" s="5" t="s">
        <v>83</v>
      </c>
    </row>
    <row r="13" spans="1:25">
      <c r="A13" s="2">
        <v>6696</v>
      </c>
      <c r="B13" s="3">
        <v>46153.80069444444</v>
      </c>
      <c r="C13" s="4">
        <v>46153</v>
      </c>
      <c r="D13" s="5" t="s">
        <v>25</v>
      </c>
      <c r="E13" s="5" t="s">
        <v>80</v>
      </c>
      <c r="F13" s="5" t="s">
        <v>81</v>
      </c>
      <c r="G13" s="5" t="s">
        <v>82</v>
      </c>
      <c r="H13" s="5" t="s">
        <v>43</v>
      </c>
      <c r="I13" s="5" t="s">
        <v>30</v>
      </c>
      <c r="J13" s="5" t="s">
        <v>31</v>
      </c>
      <c r="K13" s="5" t="s">
        <v>83</v>
      </c>
      <c r="L13" s="5" t="s">
        <v>85</v>
      </c>
      <c r="M13" s="5" t="s">
        <v>34</v>
      </c>
      <c r="N13" s="5" t="s">
        <v>73</v>
      </c>
      <c r="O13" s="5" t="s">
        <v>36</v>
      </c>
      <c r="P13" s="6">
        <v>1.2</v>
      </c>
      <c r="Q13" s="5" t="s">
        <v>74</v>
      </c>
      <c r="R13" s="2">
        <v>2</v>
      </c>
      <c r="S13" s="5" t="s">
        <v>38</v>
      </c>
      <c r="X13" s="5" t="s">
        <v>83</v>
      </c>
    </row>
    <row r="14" spans="1:25">
      <c r="A14" s="2">
        <v>6695</v>
      </c>
      <c r="B14" s="3">
        <v>46153.68125</v>
      </c>
      <c r="C14" s="4">
        <v>46153</v>
      </c>
      <c r="D14" s="5" t="s">
        <v>25</v>
      </c>
      <c r="E14" s="5" t="s">
        <v>86</v>
      </c>
      <c r="F14" s="5" t="s">
        <v>87</v>
      </c>
      <c r="G14" s="5" t="s">
        <v>88</v>
      </c>
      <c r="H14" s="5" t="s">
        <v>43</v>
      </c>
      <c r="I14" s="5" t="s">
        <v>30</v>
      </c>
      <c r="J14" s="5" t="s">
        <v>31</v>
      </c>
      <c r="K14" s="5" t="s">
        <v>89</v>
      </c>
      <c r="L14" s="5" t="s">
        <v>90</v>
      </c>
      <c r="M14" s="5" t="s">
        <v>34</v>
      </c>
      <c r="N14" s="5" t="s">
        <v>46</v>
      </c>
      <c r="O14" s="5" t="s">
        <v>36</v>
      </c>
      <c r="P14" s="6">
        <v>1.32</v>
      </c>
      <c r="Q14" s="5" t="s">
        <v>74</v>
      </c>
      <c r="R14" s="2">
        <v>5</v>
      </c>
      <c r="S14" s="5" t="s">
        <v>38</v>
      </c>
      <c r="X14" s="5" t="s">
        <v>89</v>
      </c>
    </row>
    <row r="15" spans="1:25">
      <c r="A15" s="2">
        <v>6694</v>
      </c>
      <c r="B15" s="3">
        <v>46153.62291666667</v>
      </c>
      <c r="C15" s="4">
        <v>46153</v>
      </c>
      <c r="D15" s="5" t="s">
        <v>25</v>
      </c>
      <c r="E15" s="5" t="s">
        <v>91</v>
      </c>
      <c r="F15" s="5" t="s">
        <v>92</v>
      </c>
      <c r="G15" s="5" t="s">
        <v>88</v>
      </c>
      <c r="H15" s="5" t="s">
        <v>43</v>
      </c>
      <c r="I15" s="5" t="s">
        <v>30</v>
      </c>
      <c r="J15" s="5" t="s">
        <v>31</v>
      </c>
      <c r="K15" s="5" t="s">
        <v>93</v>
      </c>
      <c r="L15" s="5" t="s">
        <v>94</v>
      </c>
      <c r="M15" s="5" t="s">
        <v>34</v>
      </c>
      <c r="N15" s="5" t="s">
        <v>46</v>
      </c>
      <c r="O15" s="5" t="s">
        <v>36</v>
      </c>
      <c r="P15" s="6">
        <v>1.38</v>
      </c>
      <c r="Q15" s="5" t="s">
        <v>74</v>
      </c>
      <c r="R15" s="2">
        <v>5</v>
      </c>
      <c r="S15" s="5" t="s">
        <v>38</v>
      </c>
      <c r="X15" s="5" t="s">
        <v>93</v>
      </c>
    </row>
    <row r="16" spans="1:25">
      <c r="A16" s="2">
        <v>6693</v>
      </c>
      <c r="B16" s="3">
        <v>46153.58402777778</v>
      </c>
      <c r="C16" s="4">
        <v>46153</v>
      </c>
      <c r="D16" s="5" t="s">
        <v>25</v>
      </c>
      <c r="E16" s="5" t="s">
        <v>95</v>
      </c>
      <c r="F16" s="5" t="s">
        <v>96</v>
      </c>
      <c r="G16" s="5" t="s">
        <v>69</v>
      </c>
      <c r="H16" s="5" t="s">
        <v>43</v>
      </c>
      <c r="I16" s="5" t="s">
        <v>30</v>
      </c>
      <c r="J16" s="5" t="s">
        <v>31</v>
      </c>
      <c r="K16" s="5" t="s">
        <v>97</v>
      </c>
      <c r="L16" s="5" t="s">
        <v>98</v>
      </c>
      <c r="M16" s="5" t="s">
        <v>34</v>
      </c>
      <c r="N16" s="5" t="s">
        <v>73</v>
      </c>
      <c r="O16" s="5" t="s">
        <v>55</v>
      </c>
      <c r="P16" s="6">
        <v>0.17</v>
      </c>
      <c r="Q16" s="5" t="s">
        <v>37</v>
      </c>
      <c r="R16" s="2">
        <v>2</v>
      </c>
      <c r="S16" s="5" t="s">
        <v>38</v>
      </c>
      <c r="T16" s="3">
        <v>46153.74930555555</v>
      </c>
      <c r="U16" s="6">
        <v>3.97</v>
      </c>
      <c r="V16" s="5" t="s">
        <v>99</v>
      </c>
      <c r="W16" s="5" t="s">
        <v>100</v>
      </c>
      <c r="X16" s="5" t="s">
        <v>97</v>
      </c>
      <c r="Y16" s="5" t="s">
        <v>101</v>
      </c>
    </row>
    <row r="17" spans="1:25">
      <c r="A17" s="2">
        <v>6692</v>
      </c>
      <c r="B17" s="3">
        <v>46153.54652777778</v>
      </c>
      <c r="C17" s="4">
        <v>46153</v>
      </c>
      <c r="D17" s="5" t="s">
        <v>25</v>
      </c>
      <c r="E17" s="5" t="s">
        <v>102</v>
      </c>
      <c r="F17" s="5" t="s">
        <v>103</v>
      </c>
      <c r="G17" s="5" t="s">
        <v>82</v>
      </c>
      <c r="H17" s="5" t="s">
        <v>43</v>
      </c>
      <c r="I17" s="5" t="s">
        <v>30</v>
      </c>
      <c r="J17" s="5" t="s">
        <v>31</v>
      </c>
      <c r="K17" s="5" t="s">
        <v>104</v>
      </c>
      <c r="L17" s="5" t="s">
        <v>105</v>
      </c>
      <c r="M17" s="5" t="s">
        <v>34</v>
      </c>
      <c r="N17" s="5" t="s">
        <v>35</v>
      </c>
      <c r="O17" s="5" t="s">
        <v>36</v>
      </c>
      <c r="P17" s="6">
        <v>1.45</v>
      </c>
      <c r="Q17" s="5" t="s">
        <v>74</v>
      </c>
      <c r="R17" s="2">
        <v>1</v>
      </c>
      <c r="S17" s="5" t="s">
        <v>79</v>
      </c>
      <c r="X17" s="5" t="s">
        <v>104</v>
      </c>
    </row>
    <row r="18" spans="1:25">
      <c r="A18" s="2">
        <v>6691</v>
      </c>
      <c r="B18" s="3">
        <v>46153.51875</v>
      </c>
      <c r="C18" s="4">
        <v>46153</v>
      </c>
      <c r="D18" s="5" t="s">
        <v>25</v>
      </c>
      <c r="E18" s="5" t="s">
        <v>106</v>
      </c>
      <c r="F18" s="5" t="s">
        <v>107</v>
      </c>
      <c r="G18" s="5" t="s">
        <v>69</v>
      </c>
      <c r="H18" s="5" t="s">
        <v>43</v>
      </c>
      <c r="I18" s="5" t="s">
        <v>30</v>
      </c>
      <c r="J18" s="5" t="s">
        <v>31</v>
      </c>
      <c r="K18" s="5" t="s">
        <v>108</v>
      </c>
      <c r="L18" s="5" t="s">
        <v>109</v>
      </c>
      <c r="M18" s="5" t="s">
        <v>34</v>
      </c>
      <c r="N18" s="5" t="s">
        <v>46</v>
      </c>
      <c r="O18" s="5" t="s">
        <v>36</v>
      </c>
      <c r="P18" s="6">
        <v>1.48</v>
      </c>
      <c r="Q18" s="5" t="s">
        <v>74</v>
      </c>
      <c r="R18" s="2">
        <v>5</v>
      </c>
      <c r="S18" s="5" t="s">
        <v>38</v>
      </c>
      <c r="X18" s="5" t="s">
        <v>108</v>
      </c>
    </row>
    <row r="19" spans="1:25">
      <c r="A19" s="2">
        <v>6690</v>
      </c>
      <c r="B19" s="3">
        <v>46153.47222222222</v>
      </c>
      <c r="C19" s="4">
        <v>46153</v>
      </c>
      <c r="D19" s="5" t="s">
        <v>25</v>
      </c>
      <c r="E19" s="5" t="s">
        <v>110</v>
      </c>
      <c r="F19" s="5" t="s">
        <v>111</v>
      </c>
      <c r="G19" s="5" t="s">
        <v>112</v>
      </c>
      <c r="H19" s="5" t="s">
        <v>29</v>
      </c>
      <c r="I19" s="5" t="s">
        <v>30</v>
      </c>
      <c r="J19" s="5" t="s">
        <v>31</v>
      </c>
      <c r="K19" s="5" t="s">
        <v>50</v>
      </c>
      <c r="L19" s="5" t="s">
        <v>113</v>
      </c>
      <c r="M19" s="5" t="s">
        <v>34</v>
      </c>
      <c r="N19" s="5" t="s">
        <v>35</v>
      </c>
      <c r="O19" s="5" t="s">
        <v>55</v>
      </c>
      <c r="P19" s="6">
        <v>0.2</v>
      </c>
      <c r="Q19" s="5" t="s">
        <v>37</v>
      </c>
      <c r="R19" s="2">
        <v>1</v>
      </c>
      <c r="S19" s="5" t="s">
        <v>38</v>
      </c>
      <c r="T19" s="3">
        <v>46153.66736111111</v>
      </c>
      <c r="U19" s="6">
        <v>4.68</v>
      </c>
      <c r="V19" s="5" t="s">
        <v>114</v>
      </c>
      <c r="W19" s="5" t="s">
        <v>100</v>
      </c>
      <c r="X19" s="5" t="s">
        <v>115</v>
      </c>
      <c r="Y19" s="5" t="s">
        <v>116</v>
      </c>
    </row>
    <row r="20" spans="1:25">
      <c r="A20" s="2">
        <v>6689</v>
      </c>
      <c r="B20" s="3">
        <v>46153.47013888889</v>
      </c>
      <c r="C20" s="4">
        <v>46153</v>
      </c>
      <c r="D20" s="5" t="s">
        <v>25</v>
      </c>
      <c r="E20" s="5" t="s">
        <v>117</v>
      </c>
      <c r="F20" s="5" t="s">
        <v>118</v>
      </c>
      <c r="G20" s="5" t="s">
        <v>119</v>
      </c>
      <c r="H20" s="5" t="s">
        <v>43</v>
      </c>
      <c r="I20" s="5" t="s">
        <v>30</v>
      </c>
      <c r="J20" s="5" t="s">
        <v>31</v>
      </c>
      <c r="K20" s="5" t="s">
        <v>120</v>
      </c>
      <c r="L20" s="5" t="s">
        <v>121</v>
      </c>
      <c r="M20" s="5" t="s">
        <v>34</v>
      </c>
      <c r="N20" s="5" t="s">
        <v>122</v>
      </c>
      <c r="O20" s="5" t="s">
        <v>55</v>
      </c>
      <c r="P20" s="6">
        <v>0.28</v>
      </c>
      <c r="Q20" s="5" t="s">
        <v>37</v>
      </c>
      <c r="R20" s="2">
        <v>4</v>
      </c>
      <c r="S20" s="5" t="s">
        <v>38</v>
      </c>
      <c r="T20" s="3">
        <v>46153.75486111111</v>
      </c>
      <c r="U20" s="6">
        <v>6.83</v>
      </c>
      <c r="V20" s="5" t="s">
        <v>123</v>
      </c>
      <c r="W20" s="5" t="s">
        <v>100</v>
      </c>
      <c r="X20" s="5" t="s">
        <v>120</v>
      </c>
      <c r="Y20" s="5" t="s">
        <v>124</v>
      </c>
    </row>
    <row r="21" spans="1:25">
      <c r="A21" s="2">
        <v>6688</v>
      </c>
      <c r="B21" s="3">
        <v>46153.44583333333</v>
      </c>
      <c r="C21" s="4">
        <v>46153</v>
      </c>
      <c r="D21" s="5" t="s">
        <v>25</v>
      </c>
      <c r="E21" s="5" t="s">
        <v>110</v>
      </c>
      <c r="F21" s="5" t="s">
        <v>111</v>
      </c>
      <c r="G21" s="5" t="s">
        <v>112</v>
      </c>
      <c r="H21" s="5" t="s">
        <v>29</v>
      </c>
      <c r="I21" s="5" t="s">
        <v>30</v>
      </c>
      <c r="J21" s="5" t="s">
        <v>31</v>
      </c>
      <c r="K21" s="5" t="s">
        <v>50</v>
      </c>
      <c r="L21" s="5" t="s">
        <v>125</v>
      </c>
      <c r="M21" s="5" t="s">
        <v>34</v>
      </c>
      <c r="N21" s="5" t="s">
        <v>35</v>
      </c>
      <c r="O21" s="5" t="s">
        <v>55</v>
      </c>
      <c r="P21" s="6">
        <v>0.22</v>
      </c>
      <c r="Q21" s="5" t="s">
        <v>37</v>
      </c>
      <c r="R21" s="2">
        <v>1</v>
      </c>
      <c r="S21" s="5" t="s">
        <v>38</v>
      </c>
      <c r="T21" s="3">
        <v>46153.66805555556</v>
      </c>
      <c r="U21" s="6">
        <v>5.33</v>
      </c>
      <c r="V21" s="5" t="s">
        <v>114</v>
      </c>
      <c r="W21" s="5" t="s">
        <v>100</v>
      </c>
      <c r="X21" s="5" t="s">
        <v>115</v>
      </c>
      <c r="Y21" s="5" t="s">
        <v>126</v>
      </c>
    </row>
    <row r="22" spans="1:25">
      <c r="A22" s="2">
        <v>6687</v>
      </c>
      <c r="B22" s="3">
        <v>46153.44375</v>
      </c>
      <c r="C22" s="4">
        <v>46153</v>
      </c>
      <c r="D22" s="5" t="s">
        <v>25</v>
      </c>
      <c r="E22" s="5" t="s">
        <v>110</v>
      </c>
      <c r="F22" s="5" t="s">
        <v>111</v>
      </c>
      <c r="G22" s="5" t="s">
        <v>112</v>
      </c>
      <c r="H22" s="5" t="s">
        <v>29</v>
      </c>
      <c r="I22" s="5" t="s">
        <v>30</v>
      </c>
      <c r="J22" s="5" t="s">
        <v>31</v>
      </c>
      <c r="K22" s="5" t="s">
        <v>50</v>
      </c>
      <c r="L22" s="5" t="s">
        <v>127</v>
      </c>
      <c r="M22" s="5" t="s">
        <v>34</v>
      </c>
      <c r="N22" s="5" t="s">
        <v>73</v>
      </c>
      <c r="O22" s="5" t="s">
        <v>55</v>
      </c>
      <c r="P22" s="6">
        <v>0.23</v>
      </c>
      <c r="Q22" s="5" t="s">
        <v>37</v>
      </c>
      <c r="R22" s="2">
        <v>2</v>
      </c>
      <c r="S22" s="5" t="s">
        <v>38</v>
      </c>
      <c r="T22" s="3">
        <v>46153.66944444444</v>
      </c>
      <c r="U22" s="6">
        <v>5.42</v>
      </c>
      <c r="V22" s="5" t="s">
        <v>114</v>
      </c>
      <c r="W22" s="5" t="s">
        <v>100</v>
      </c>
      <c r="X22" s="5" t="s">
        <v>115</v>
      </c>
      <c r="Y22" s="5" t="s">
        <v>128</v>
      </c>
    </row>
    <row r="23" spans="1:25">
      <c r="A23" s="2">
        <v>6686</v>
      </c>
      <c r="B23" s="3">
        <v>46153.44305555556</v>
      </c>
      <c r="C23" s="4">
        <v>46153</v>
      </c>
      <c r="D23" s="5" t="s">
        <v>25</v>
      </c>
      <c r="E23" s="5" t="s">
        <v>110</v>
      </c>
      <c r="F23" s="5" t="s">
        <v>111</v>
      </c>
      <c r="G23" s="5" t="s">
        <v>112</v>
      </c>
      <c r="H23" s="5" t="s">
        <v>29</v>
      </c>
      <c r="I23" s="5" t="s">
        <v>30</v>
      </c>
      <c r="J23" s="5" t="s">
        <v>31</v>
      </c>
      <c r="K23" s="5" t="s">
        <v>50</v>
      </c>
      <c r="L23" s="5" t="s">
        <v>129</v>
      </c>
      <c r="M23" s="5" t="s">
        <v>34</v>
      </c>
      <c r="N23" s="5" t="s">
        <v>122</v>
      </c>
      <c r="O23" s="5" t="s">
        <v>36</v>
      </c>
      <c r="P23" s="6">
        <v>1.56</v>
      </c>
      <c r="Q23" s="5" t="s">
        <v>74</v>
      </c>
      <c r="R23" s="2">
        <v>4</v>
      </c>
      <c r="S23" s="5" t="s">
        <v>38</v>
      </c>
      <c r="X23" s="5" t="s">
        <v>115</v>
      </c>
    </row>
    <row r="24" spans="1:25">
      <c r="A24" s="2">
        <v>6685</v>
      </c>
      <c r="B24" s="3">
        <v>46153.39861111111</v>
      </c>
      <c r="C24" s="4">
        <v>46153</v>
      </c>
      <c r="D24" s="5" t="s">
        <v>25</v>
      </c>
      <c r="E24" s="5" t="s">
        <v>130</v>
      </c>
      <c r="F24" s="5" t="s">
        <v>131</v>
      </c>
      <c r="G24" s="5" t="s">
        <v>119</v>
      </c>
      <c r="H24" s="5" t="s">
        <v>43</v>
      </c>
      <c r="I24" s="5" t="s">
        <v>30</v>
      </c>
      <c r="J24" s="5" t="s">
        <v>31</v>
      </c>
      <c r="K24" s="5" t="s">
        <v>132</v>
      </c>
      <c r="L24" s="5" t="s">
        <v>133</v>
      </c>
      <c r="M24" s="5" t="s">
        <v>34</v>
      </c>
      <c r="N24" s="5" t="s">
        <v>35</v>
      </c>
      <c r="O24" s="5" t="s">
        <v>36</v>
      </c>
      <c r="P24" s="6">
        <v>1.6</v>
      </c>
      <c r="Q24" s="5" t="s">
        <v>74</v>
      </c>
      <c r="R24" s="2">
        <v>1</v>
      </c>
      <c r="S24" s="5" t="s">
        <v>79</v>
      </c>
      <c r="X24" s="5" t="s">
        <v>132</v>
      </c>
    </row>
    <row r="25" spans="1:25">
      <c r="A25" s="2">
        <v>6684</v>
      </c>
      <c r="B25" s="3">
        <v>46153.39652777778</v>
      </c>
      <c r="C25" s="4">
        <v>46153</v>
      </c>
      <c r="D25" s="5" t="s">
        <v>25</v>
      </c>
      <c r="E25" s="5" t="s">
        <v>95</v>
      </c>
      <c r="F25" s="5" t="s">
        <v>96</v>
      </c>
      <c r="G25" s="5" t="s">
        <v>69</v>
      </c>
      <c r="H25" s="5" t="s">
        <v>43</v>
      </c>
      <c r="I25" s="5" t="s">
        <v>30</v>
      </c>
      <c r="J25" s="5" t="s">
        <v>31</v>
      </c>
      <c r="K25" s="5" t="s">
        <v>97</v>
      </c>
      <c r="L25" s="5" t="s">
        <v>134</v>
      </c>
      <c r="M25" s="5" t="s">
        <v>34</v>
      </c>
      <c r="N25" s="5" t="s">
        <v>73</v>
      </c>
      <c r="O25" s="5" t="s">
        <v>55</v>
      </c>
      <c r="P25" s="6">
        <v>0.35</v>
      </c>
      <c r="Q25" s="5" t="s">
        <v>37</v>
      </c>
      <c r="R25" s="2">
        <v>2</v>
      </c>
      <c r="S25" s="5" t="s">
        <v>38</v>
      </c>
      <c r="T25" s="3">
        <v>46153.75</v>
      </c>
      <c r="U25" s="6">
        <v>8.48</v>
      </c>
      <c r="V25" s="5" t="s">
        <v>99</v>
      </c>
      <c r="W25" s="5" t="s">
        <v>100</v>
      </c>
      <c r="X25" s="5" t="s">
        <v>97</v>
      </c>
      <c r="Y25" s="5" t="s">
        <v>101</v>
      </c>
    </row>
    <row r="26" spans="1:25">
      <c r="A26" s="2">
        <v>6683</v>
      </c>
      <c r="B26" s="3">
        <v>46152.9875</v>
      </c>
      <c r="C26" s="4">
        <v>46152</v>
      </c>
      <c r="D26" s="5" t="s">
        <v>25</v>
      </c>
      <c r="E26" s="5" t="s">
        <v>135</v>
      </c>
      <c r="F26" s="5" t="s">
        <v>136</v>
      </c>
      <c r="G26" s="5" t="s">
        <v>137</v>
      </c>
      <c r="H26" s="5" t="s">
        <v>43</v>
      </c>
      <c r="I26" s="5" t="s">
        <v>30</v>
      </c>
      <c r="J26" s="5" t="s">
        <v>31</v>
      </c>
      <c r="K26" s="5" t="s">
        <v>115</v>
      </c>
      <c r="L26" s="5" t="s">
        <v>138</v>
      </c>
      <c r="M26" s="5" t="s">
        <v>34</v>
      </c>
      <c r="N26" s="5" t="s">
        <v>46</v>
      </c>
      <c r="O26" s="5" t="s">
        <v>36</v>
      </c>
      <c r="P26" s="6">
        <v>2.01</v>
      </c>
      <c r="Q26" s="5" t="s">
        <v>74</v>
      </c>
      <c r="R26" s="2">
        <v>5</v>
      </c>
      <c r="S26" s="5" t="s">
        <v>38</v>
      </c>
      <c r="X26" s="5" t="s">
        <v>115</v>
      </c>
    </row>
    <row r="27" spans="1:25">
      <c r="A27" s="2">
        <v>6682</v>
      </c>
      <c r="B27" s="3">
        <v>46152.80208333334</v>
      </c>
      <c r="C27" s="4">
        <v>46152</v>
      </c>
      <c r="D27" s="5" t="s">
        <v>25</v>
      </c>
      <c r="E27" s="5" t="s">
        <v>106</v>
      </c>
      <c r="F27" s="5" t="s">
        <v>107</v>
      </c>
      <c r="G27" s="5" t="s">
        <v>69</v>
      </c>
      <c r="H27" s="5" t="s">
        <v>43</v>
      </c>
      <c r="I27" s="5" t="s">
        <v>30</v>
      </c>
      <c r="J27" s="5" t="s">
        <v>31</v>
      </c>
      <c r="K27" s="5" t="s">
        <v>108</v>
      </c>
      <c r="L27" s="5" t="s">
        <v>139</v>
      </c>
      <c r="M27" s="5" t="s">
        <v>34</v>
      </c>
      <c r="N27" s="5" t="s">
        <v>35</v>
      </c>
      <c r="O27" s="5" t="s">
        <v>55</v>
      </c>
      <c r="P27" s="6">
        <v>0.03</v>
      </c>
      <c r="Q27" s="5" t="s">
        <v>37</v>
      </c>
      <c r="R27" s="2">
        <v>1</v>
      </c>
      <c r="S27" s="5" t="s">
        <v>38</v>
      </c>
      <c r="T27" s="3">
        <v>46152.83055555556</v>
      </c>
      <c r="U27" s="6">
        <v>0.68</v>
      </c>
      <c r="V27" s="5" t="s">
        <v>99</v>
      </c>
      <c r="W27" s="5" t="s">
        <v>100</v>
      </c>
      <c r="X27" s="5" t="s">
        <v>108</v>
      </c>
      <c r="Y27" s="5" t="s">
        <v>101</v>
      </c>
    </row>
    <row r="28" spans="1:25">
      <c r="A28" s="2">
        <v>6681</v>
      </c>
      <c r="B28" s="3">
        <v>46152.78055555555</v>
      </c>
      <c r="C28" s="4">
        <v>46152</v>
      </c>
      <c r="D28" s="5" t="s">
        <v>25</v>
      </c>
      <c r="E28" s="5" t="s">
        <v>140</v>
      </c>
      <c r="F28" s="5" t="s">
        <v>141</v>
      </c>
      <c r="G28" s="5" t="s">
        <v>142</v>
      </c>
      <c r="H28" s="5" t="s">
        <v>29</v>
      </c>
      <c r="I28" s="5" t="s">
        <v>70</v>
      </c>
      <c r="J28" s="5" t="s">
        <v>143</v>
      </c>
      <c r="K28" s="5" t="s">
        <v>144</v>
      </c>
      <c r="L28" s="5" t="s">
        <v>145</v>
      </c>
      <c r="M28" s="5" t="s">
        <v>34</v>
      </c>
      <c r="N28" s="5" t="s">
        <v>146</v>
      </c>
      <c r="O28" s="5" t="s">
        <v>55</v>
      </c>
      <c r="P28" s="6">
        <v>1.12</v>
      </c>
      <c r="Q28" s="5" t="s">
        <v>74</v>
      </c>
      <c r="R28" s="2">
        <v>7</v>
      </c>
      <c r="S28" s="5" t="s">
        <v>38</v>
      </c>
      <c r="T28" s="3">
        <v>46153.90277777778</v>
      </c>
      <c r="U28" s="6">
        <v>26.93</v>
      </c>
      <c r="V28" s="5" t="s">
        <v>147</v>
      </c>
      <c r="W28" s="5" t="s">
        <v>100</v>
      </c>
      <c r="X28" s="5" t="s">
        <v>144</v>
      </c>
      <c r="Y28" s="5" t="s">
        <v>148</v>
      </c>
    </row>
    <row r="29" spans="1:25">
      <c r="A29" s="2">
        <v>6680</v>
      </c>
      <c r="B29" s="3">
        <v>46152.70277777778</v>
      </c>
      <c r="C29" s="4">
        <v>46152</v>
      </c>
      <c r="D29" s="5" t="s">
        <v>25</v>
      </c>
      <c r="E29" s="5" t="s">
        <v>91</v>
      </c>
      <c r="F29" s="5" t="s">
        <v>92</v>
      </c>
      <c r="G29" s="5" t="s">
        <v>88</v>
      </c>
      <c r="H29" s="5" t="s">
        <v>43</v>
      </c>
      <c r="I29" s="5" t="s">
        <v>30</v>
      </c>
      <c r="J29" s="5" t="s">
        <v>31</v>
      </c>
      <c r="K29" s="5" t="s">
        <v>93</v>
      </c>
      <c r="L29" s="5" t="s">
        <v>149</v>
      </c>
      <c r="M29" s="5" t="s">
        <v>34</v>
      </c>
      <c r="N29" s="5" t="s">
        <v>46</v>
      </c>
      <c r="O29" s="5" t="s">
        <v>36</v>
      </c>
      <c r="P29" s="6">
        <v>2.3</v>
      </c>
      <c r="Q29" s="5" t="s">
        <v>74</v>
      </c>
      <c r="R29" s="2">
        <v>5</v>
      </c>
      <c r="S29" s="5" t="s">
        <v>38</v>
      </c>
      <c r="X29" s="5" t="s">
        <v>93</v>
      </c>
    </row>
    <row r="30" spans="1:25">
      <c r="A30" s="2">
        <v>6679</v>
      </c>
      <c r="B30" s="3">
        <v>46152.62361111111</v>
      </c>
      <c r="C30" s="4">
        <v>46152</v>
      </c>
      <c r="D30" s="5" t="s">
        <v>25</v>
      </c>
      <c r="E30" s="5" t="s">
        <v>150</v>
      </c>
      <c r="F30" s="5" t="s">
        <v>151</v>
      </c>
      <c r="G30" s="5" t="s">
        <v>69</v>
      </c>
      <c r="H30" s="5" t="s">
        <v>43</v>
      </c>
      <c r="I30" s="5" t="s">
        <v>70</v>
      </c>
      <c r="J30" s="5" t="s">
        <v>152</v>
      </c>
      <c r="K30" s="5" t="s">
        <v>60</v>
      </c>
      <c r="L30" s="5" t="s">
        <v>153</v>
      </c>
      <c r="M30" s="5" t="s">
        <v>34</v>
      </c>
      <c r="N30" s="5" t="s">
        <v>35</v>
      </c>
      <c r="O30" s="5" t="s">
        <v>55</v>
      </c>
      <c r="P30" s="6">
        <v>1.15</v>
      </c>
      <c r="Q30" s="5" t="s">
        <v>74</v>
      </c>
      <c r="R30" s="2">
        <v>1</v>
      </c>
      <c r="S30" s="5" t="s">
        <v>79</v>
      </c>
      <c r="T30" s="3">
        <v>46153.77083333334</v>
      </c>
      <c r="U30" s="6">
        <v>27.53</v>
      </c>
      <c r="V30" s="5" t="s">
        <v>154</v>
      </c>
      <c r="W30" s="5" t="s">
        <v>100</v>
      </c>
      <c r="X30" s="5" t="s">
        <v>60</v>
      </c>
      <c r="Y30" s="5" t="s">
        <v>155</v>
      </c>
    </row>
    <row r="31" spans="1:25">
      <c r="A31" s="2">
        <v>6678</v>
      </c>
      <c r="B31" s="3">
        <v>46152.62222222222</v>
      </c>
      <c r="C31" s="4">
        <v>46152</v>
      </c>
      <c r="D31" s="5" t="s">
        <v>25</v>
      </c>
      <c r="E31" s="5" t="s">
        <v>156</v>
      </c>
      <c r="F31" s="5" t="s">
        <v>157</v>
      </c>
      <c r="G31" s="5" t="s">
        <v>137</v>
      </c>
      <c r="H31" s="5" t="s">
        <v>43</v>
      </c>
      <c r="I31" s="5" t="s">
        <v>30</v>
      </c>
      <c r="J31" s="5" t="s">
        <v>31</v>
      </c>
      <c r="K31" s="5" t="s">
        <v>158</v>
      </c>
      <c r="L31" s="5" t="s">
        <v>159</v>
      </c>
      <c r="M31" s="5" t="s">
        <v>34</v>
      </c>
      <c r="N31" s="5" t="s">
        <v>122</v>
      </c>
      <c r="O31" s="5" t="s">
        <v>55</v>
      </c>
      <c r="P31" s="6">
        <v>0.76</v>
      </c>
      <c r="Q31" s="5" t="s">
        <v>37</v>
      </c>
      <c r="R31" s="2">
        <v>4</v>
      </c>
      <c r="S31" s="5" t="s">
        <v>38</v>
      </c>
      <c r="T31" s="3">
        <v>46153.38611111111</v>
      </c>
      <c r="U31" s="6">
        <v>18.33</v>
      </c>
      <c r="V31" s="5" t="s">
        <v>160</v>
      </c>
      <c r="W31" s="5" t="s">
        <v>100</v>
      </c>
      <c r="X31" s="5" t="s">
        <v>158</v>
      </c>
      <c r="Y31" s="5" t="s">
        <v>161</v>
      </c>
    </row>
    <row r="32" spans="1:25">
      <c r="A32" s="2">
        <v>6677</v>
      </c>
      <c r="B32" s="3">
        <v>46152.61041666667</v>
      </c>
      <c r="C32" s="4">
        <v>46152</v>
      </c>
      <c r="D32" s="5" t="s">
        <v>25</v>
      </c>
      <c r="E32" s="5" t="s">
        <v>162</v>
      </c>
      <c r="F32" s="5" t="s">
        <v>163</v>
      </c>
      <c r="G32" s="5" t="s">
        <v>82</v>
      </c>
      <c r="H32" s="5" t="s">
        <v>43</v>
      </c>
      <c r="I32" s="5" t="s">
        <v>70</v>
      </c>
      <c r="J32" s="5" t="s">
        <v>164</v>
      </c>
      <c r="K32" s="5" t="s">
        <v>165</v>
      </c>
      <c r="L32" s="5" t="s">
        <v>166</v>
      </c>
      <c r="M32" s="5" t="s">
        <v>167</v>
      </c>
      <c r="N32" s="5" t="s">
        <v>73</v>
      </c>
      <c r="O32" s="5" t="s">
        <v>36</v>
      </c>
      <c r="P32" s="6">
        <v>2.39</v>
      </c>
      <c r="Q32" s="5" t="s">
        <v>74</v>
      </c>
      <c r="R32" s="2">
        <v>2</v>
      </c>
      <c r="S32" s="5" t="s">
        <v>79</v>
      </c>
      <c r="X32" s="5" t="s">
        <v>165</v>
      </c>
    </row>
    <row r="33" spans="1:25">
      <c r="A33" s="2">
        <v>6676</v>
      </c>
      <c r="B33" s="3">
        <v>46152.55694444444</v>
      </c>
      <c r="C33" s="4">
        <v>46152</v>
      </c>
      <c r="D33" s="5" t="s">
        <v>25</v>
      </c>
      <c r="E33" s="5" t="s">
        <v>117</v>
      </c>
      <c r="F33" s="5" t="s">
        <v>118</v>
      </c>
      <c r="G33" s="5" t="s">
        <v>119</v>
      </c>
      <c r="H33" s="5" t="s">
        <v>43</v>
      </c>
      <c r="I33" s="5" t="s">
        <v>30</v>
      </c>
      <c r="J33" s="5" t="s">
        <v>31</v>
      </c>
      <c r="K33" s="5" t="s">
        <v>120</v>
      </c>
      <c r="L33" s="5" t="s">
        <v>168</v>
      </c>
      <c r="M33" s="5" t="s">
        <v>34</v>
      </c>
      <c r="N33" s="5" t="s">
        <v>122</v>
      </c>
      <c r="O33" s="5" t="s">
        <v>55</v>
      </c>
      <c r="P33" s="6">
        <v>0</v>
      </c>
      <c r="Q33" s="5" t="s">
        <v>37</v>
      </c>
      <c r="R33" s="2">
        <v>4</v>
      </c>
      <c r="S33" s="5" t="s">
        <v>38</v>
      </c>
      <c r="T33" s="3">
        <v>46152.55763888889</v>
      </c>
      <c r="U33" s="6">
        <v>0.02</v>
      </c>
      <c r="V33" s="5" t="s">
        <v>123</v>
      </c>
      <c r="W33" s="5" t="s">
        <v>100</v>
      </c>
      <c r="X33" s="5" t="s">
        <v>120</v>
      </c>
      <c r="Y33" s="5" t="s">
        <v>124</v>
      </c>
    </row>
    <row r="34" spans="1:25">
      <c r="A34" s="2">
        <v>6675</v>
      </c>
      <c r="B34" s="3">
        <v>46152.55555555555</v>
      </c>
      <c r="C34" s="4">
        <v>46152</v>
      </c>
      <c r="D34" s="5" t="s">
        <v>25</v>
      </c>
      <c r="E34" s="5" t="s">
        <v>117</v>
      </c>
      <c r="F34" s="5" t="s">
        <v>118</v>
      </c>
      <c r="G34" s="5" t="s">
        <v>119</v>
      </c>
      <c r="H34" s="5" t="s">
        <v>43</v>
      </c>
      <c r="I34" s="5" t="s">
        <v>30</v>
      </c>
      <c r="J34" s="5" t="s">
        <v>31</v>
      </c>
      <c r="K34" s="5" t="s">
        <v>120</v>
      </c>
      <c r="L34" s="5" t="s">
        <v>169</v>
      </c>
      <c r="M34" s="5" t="s">
        <v>34</v>
      </c>
      <c r="N34" s="5" t="s">
        <v>146</v>
      </c>
      <c r="O34" s="5" t="s">
        <v>55</v>
      </c>
      <c r="P34" s="6">
        <v>0</v>
      </c>
      <c r="Q34" s="5" t="s">
        <v>37</v>
      </c>
      <c r="R34" s="2">
        <v>7</v>
      </c>
      <c r="S34" s="5" t="s">
        <v>38</v>
      </c>
      <c r="T34" s="3">
        <v>46152.55763888889</v>
      </c>
      <c r="U34" s="6">
        <v>0.05</v>
      </c>
      <c r="V34" s="5" t="s">
        <v>123</v>
      </c>
      <c r="W34" s="5" t="s">
        <v>100</v>
      </c>
      <c r="X34" s="5" t="s">
        <v>120</v>
      </c>
      <c r="Y34" s="5" t="s">
        <v>124</v>
      </c>
    </row>
    <row r="35" spans="1:25">
      <c r="A35" s="2">
        <v>6674</v>
      </c>
      <c r="B35" s="3">
        <v>46152.47430555556</v>
      </c>
      <c r="C35" s="4">
        <v>46152</v>
      </c>
      <c r="D35" s="5" t="s">
        <v>25</v>
      </c>
      <c r="E35" s="5" t="s">
        <v>170</v>
      </c>
      <c r="F35" s="5" t="s">
        <v>171</v>
      </c>
      <c r="G35" s="5" t="s">
        <v>137</v>
      </c>
      <c r="H35" s="5" t="s">
        <v>43</v>
      </c>
      <c r="I35" s="5" t="s">
        <v>172</v>
      </c>
      <c r="J35" s="5" t="s">
        <v>173</v>
      </c>
      <c r="K35" s="5" t="s">
        <v>174</v>
      </c>
      <c r="L35" s="5" t="s">
        <v>175</v>
      </c>
      <c r="M35" s="5" t="s">
        <v>34</v>
      </c>
      <c r="N35" s="5" t="s">
        <v>122</v>
      </c>
      <c r="O35" s="5" t="s">
        <v>55</v>
      </c>
      <c r="P35" s="6">
        <v>1.47</v>
      </c>
      <c r="Q35" s="5" t="s">
        <v>74</v>
      </c>
      <c r="R35" s="2">
        <v>4</v>
      </c>
      <c r="S35" s="5" t="s">
        <v>38</v>
      </c>
      <c r="T35" s="3">
        <v>46153.94166666667</v>
      </c>
      <c r="U35" s="6">
        <v>35.22</v>
      </c>
      <c r="V35" s="5" t="s">
        <v>176</v>
      </c>
      <c r="W35" s="5" t="s">
        <v>100</v>
      </c>
      <c r="X35" s="5" t="s">
        <v>174</v>
      </c>
      <c r="Y35" s="5" t="s">
        <v>177</v>
      </c>
    </row>
    <row r="36" spans="1:25">
      <c r="A36" s="2">
        <v>6673</v>
      </c>
      <c r="B36" s="3">
        <v>46152.47430555556</v>
      </c>
      <c r="C36" s="4">
        <v>46152</v>
      </c>
      <c r="D36" s="5" t="s">
        <v>25</v>
      </c>
      <c r="E36" s="5" t="s">
        <v>170</v>
      </c>
      <c r="F36" s="5" t="s">
        <v>171</v>
      </c>
      <c r="G36" s="5" t="s">
        <v>137</v>
      </c>
      <c r="H36" s="5" t="s">
        <v>43</v>
      </c>
      <c r="I36" s="5" t="s">
        <v>172</v>
      </c>
      <c r="J36" s="5" t="s">
        <v>173</v>
      </c>
      <c r="K36" s="5" t="s">
        <v>174</v>
      </c>
      <c r="L36" s="5" t="s">
        <v>178</v>
      </c>
      <c r="M36" s="5" t="s">
        <v>34</v>
      </c>
      <c r="N36" s="5" t="s">
        <v>122</v>
      </c>
      <c r="O36" s="5" t="s">
        <v>55</v>
      </c>
      <c r="P36" s="6">
        <v>1.47</v>
      </c>
      <c r="Q36" s="5" t="s">
        <v>74</v>
      </c>
      <c r="R36" s="2">
        <v>4</v>
      </c>
      <c r="S36" s="5" t="s">
        <v>38</v>
      </c>
      <c r="T36" s="3">
        <v>46153.94236111111</v>
      </c>
      <c r="U36" s="6">
        <v>35.23</v>
      </c>
      <c r="V36" s="5" t="s">
        <v>176</v>
      </c>
      <c r="W36" s="5" t="s">
        <v>100</v>
      </c>
      <c r="X36" s="5" t="s">
        <v>174</v>
      </c>
      <c r="Y36" s="5" t="s">
        <v>179</v>
      </c>
    </row>
    <row r="37" spans="1:25">
      <c r="A37" s="2">
        <v>6672</v>
      </c>
      <c r="B37" s="3">
        <v>46152.44583333333</v>
      </c>
      <c r="C37" s="4">
        <v>46152</v>
      </c>
      <c r="D37" s="5" t="s">
        <v>25</v>
      </c>
      <c r="E37" s="5" t="s">
        <v>180</v>
      </c>
      <c r="F37" s="5" t="s">
        <v>181</v>
      </c>
      <c r="G37" s="5" t="s">
        <v>182</v>
      </c>
      <c r="H37" s="5" t="s">
        <v>43</v>
      </c>
      <c r="I37" s="5" t="s">
        <v>70</v>
      </c>
      <c r="J37" s="5" t="s">
        <v>71</v>
      </c>
      <c r="K37" s="5" t="s">
        <v>183</v>
      </c>
      <c r="L37" s="5" t="s">
        <v>184</v>
      </c>
      <c r="M37" s="5" t="s">
        <v>34</v>
      </c>
      <c r="N37" s="5" t="s">
        <v>73</v>
      </c>
      <c r="O37" s="5" t="s">
        <v>55</v>
      </c>
      <c r="P37" s="6">
        <v>1.32</v>
      </c>
      <c r="Q37" s="5" t="s">
        <v>74</v>
      </c>
      <c r="R37" s="2">
        <v>2</v>
      </c>
      <c r="S37" s="5" t="s">
        <v>38</v>
      </c>
      <c r="T37" s="3">
        <v>46153.76736111111</v>
      </c>
      <c r="U37" s="6">
        <v>31.72</v>
      </c>
      <c r="V37" s="5" t="s">
        <v>147</v>
      </c>
      <c r="W37" s="5" t="s">
        <v>100</v>
      </c>
      <c r="X37" s="5" t="s">
        <v>183</v>
      </c>
      <c r="Y37" s="5" t="s">
        <v>185</v>
      </c>
    </row>
    <row r="38" spans="1:25">
      <c r="A38" s="2">
        <v>6671</v>
      </c>
      <c r="B38" s="3">
        <v>46152.37291666667</v>
      </c>
      <c r="C38" s="4">
        <v>46152</v>
      </c>
      <c r="D38" s="5" t="s">
        <v>25</v>
      </c>
      <c r="E38" s="5" t="s">
        <v>40</v>
      </c>
      <c r="F38" s="5" t="s">
        <v>41</v>
      </c>
      <c r="G38" s="5" t="s">
        <v>42</v>
      </c>
      <c r="H38" s="5" t="s">
        <v>43</v>
      </c>
      <c r="I38" s="5" t="s">
        <v>30</v>
      </c>
      <c r="J38" s="5" t="s">
        <v>31</v>
      </c>
      <c r="K38" s="5" t="s">
        <v>44</v>
      </c>
      <c r="L38" s="5" t="s">
        <v>186</v>
      </c>
      <c r="M38" s="5" t="s">
        <v>34</v>
      </c>
      <c r="N38" s="5" t="s">
        <v>122</v>
      </c>
      <c r="O38" s="5" t="s">
        <v>55</v>
      </c>
      <c r="P38" s="6">
        <v>0.15</v>
      </c>
      <c r="Q38" s="5" t="s">
        <v>37</v>
      </c>
      <c r="R38" s="2">
        <v>4</v>
      </c>
      <c r="S38" s="5" t="s">
        <v>38</v>
      </c>
      <c r="T38" s="3">
        <v>46152.52638888889</v>
      </c>
      <c r="U38" s="6">
        <v>3.68</v>
      </c>
      <c r="V38" s="5" t="s">
        <v>160</v>
      </c>
      <c r="W38" s="5" t="s">
        <v>100</v>
      </c>
      <c r="X38" s="5" t="s">
        <v>44</v>
      </c>
      <c r="Y38" s="5" t="s">
        <v>161</v>
      </c>
    </row>
    <row r="39" spans="1:25">
      <c r="A39" s="2">
        <v>6670</v>
      </c>
      <c r="B39" s="3">
        <v>46152.37291666667</v>
      </c>
      <c r="C39" s="4">
        <v>46152</v>
      </c>
      <c r="D39" s="5" t="s">
        <v>25</v>
      </c>
      <c r="E39" s="5" t="s">
        <v>40</v>
      </c>
      <c r="F39" s="5" t="s">
        <v>41</v>
      </c>
      <c r="G39" s="5" t="s">
        <v>42</v>
      </c>
      <c r="H39" s="5" t="s">
        <v>43</v>
      </c>
      <c r="I39" s="5" t="s">
        <v>30</v>
      </c>
      <c r="J39" s="5" t="s">
        <v>31</v>
      </c>
      <c r="K39" s="5" t="s">
        <v>44</v>
      </c>
      <c r="L39" s="5" t="s">
        <v>187</v>
      </c>
      <c r="M39" s="5" t="s">
        <v>34</v>
      </c>
      <c r="N39" s="5" t="s">
        <v>73</v>
      </c>
      <c r="O39" s="5" t="s">
        <v>55</v>
      </c>
      <c r="P39" s="6">
        <v>0.15</v>
      </c>
      <c r="Q39" s="5" t="s">
        <v>37</v>
      </c>
      <c r="R39" s="2">
        <v>2</v>
      </c>
      <c r="S39" s="5" t="s">
        <v>38</v>
      </c>
      <c r="T39" s="3">
        <v>46152.52708333333</v>
      </c>
      <c r="U39" s="6">
        <v>3.7</v>
      </c>
      <c r="V39" s="5" t="s">
        <v>160</v>
      </c>
      <c r="W39" s="5" t="s">
        <v>100</v>
      </c>
      <c r="X39" s="5" t="s">
        <v>44</v>
      </c>
      <c r="Y39" s="5" t="s">
        <v>161</v>
      </c>
    </row>
    <row r="40" spans="1:25">
      <c r="A40" s="2">
        <v>6669</v>
      </c>
      <c r="B40" s="3">
        <v>46152.33333333334</v>
      </c>
      <c r="C40" s="4">
        <v>46152</v>
      </c>
      <c r="D40" s="5" t="s">
        <v>25</v>
      </c>
      <c r="E40" s="5" t="s">
        <v>188</v>
      </c>
      <c r="F40" s="5" t="s">
        <v>189</v>
      </c>
      <c r="G40" s="5" t="s">
        <v>182</v>
      </c>
      <c r="H40" s="5" t="s">
        <v>43</v>
      </c>
      <c r="I40" s="5" t="s">
        <v>70</v>
      </c>
      <c r="J40" s="5" t="s">
        <v>152</v>
      </c>
      <c r="K40" s="5" t="s">
        <v>190</v>
      </c>
      <c r="L40" s="5" t="s">
        <v>191</v>
      </c>
      <c r="M40" s="5" t="s">
        <v>34</v>
      </c>
      <c r="N40" s="5" t="s">
        <v>73</v>
      </c>
      <c r="O40" s="5" t="s">
        <v>55</v>
      </c>
      <c r="P40" s="6">
        <v>1.16</v>
      </c>
      <c r="Q40" s="5" t="s">
        <v>74</v>
      </c>
      <c r="R40" s="2">
        <v>2</v>
      </c>
      <c r="S40" s="5" t="s">
        <v>38</v>
      </c>
      <c r="T40" s="3">
        <v>46153.49444444444</v>
      </c>
      <c r="U40" s="6">
        <v>27.87</v>
      </c>
      <c r="V40" s="5" t="s">
        <v>154</v>
      </c>
      <c r="W40" s="5" t="s">
        <v>100</v>
      </c>
      <c r="X40" s="5" t="s">
        <v>190</v>
      </c>
      <c r="Y40" s="5" t="s">
        <v>192</v>
      </c>
    </row>
    <row r="41" spans="1:25">
      <c r="A41" s="2">
        <v>6668</v>
      </c>
      <c r="B41" s="3">
        <v>46152.32986111111</v>
      </c>
      <c r="C41" s="4">
        <v>46152</v>
      </c>
      <c r="D41" s="5" t="s">
        <v>25</v>
      </c>
      <c r="E41" s="5" t="s">
        <v>193</v>
      </c>
      <c r="F41" s="5" t="s">
        <v>194</v>
      </c>
      <c r="G41" s="5" t="s">
        <v>137</v>
      </c>
      <c r="H41" s="5" t="s">
        <v>43</v>
      </c>
      <c r="I41" s="5" t="s">
        <v>70</v>
      </c>
      <c r="J41" s="5" t="s">
        <v>71</v>
      </c>
      <c r="K41" s="5" t="s">
        <v>195</v>
      </c>
      <c r="L41" s="5" t="s">
        <v>196</v>
      </c>
      <c r="M41" s="5" t="s">
        <v>34</v>
      </c>
      <c r="N41" s="5" t="s">
        <v>73</v>
      </c>
      <c r="O41" s="5" t="s">
        <v>55</v>
      </c>
      <c r="P41" s="6">
        <v>0.21</v>
      </c>
      <c r="Q41" s="5" t="s">
        <v>37</v>
      </c>
      <c r="R41" s="2">
        <v>2</v>
      </c>
      <c r="S41" s="5" t="s">
        <v>38</v>
      </c>
      <c r="T41" s="3">
        <v>46152.5375</v>
      </c>
      <c r="U41" s="6">
        <v>4.98</v>
      </c>
      <c r="V41" s="5" t="s">
        <v>193</v>
      </c>
      <c r="W41" s="5" t="s">
        <v>43</v>
      </c>
      <c r="X41" s="5" t="s">
        <v>195</v>
      </c>
      <c r="Y41" s="5" t="s">
        <v>197</v>
      </c>
    </row>
    <row r="42" spans="1:25">
      <c r="A42" s="2">
        <v>6667</v>
      </c>
      <c r="B42" s="3">
        <v>46152.32916666667</v>
      </c>
      <c r="C42" s="4">
        <v>46152</v>
      </c>
      <c r="D42" s="5" t="s">
        <v>25</v>
      </c>
      <c r="E42" s="5" t="s">
        <v>198</v>
      </c>
      <c r="F42" s="5" t="s">
        <v>199</v>
      </c>
      <c r="G42" s="5" t="s">
        <v>119</v>
      </c>
      <c r="H42" s="5" t="s">
        <v>43</v>
      </c>
      <c r="I42" s="5" t="s">
        <v>30</v>
      </c>
      <c r="J42" s="5" t="s">
        <v>31</v>
      </c>
      <c r="K42" s="5" t="s">
        <v>44</v>
      </c>
      <c r="L42" s="5" t="s">
        <v>200</v>
      </c>
      <c r="M42" s="5" t="s">
        <v>34</v>
      </c>
      <c r="N42" s="5" t="s">
        <v>73</v>
      </c>
      <c r="O42" s="5" t="s">
        <v>55</v>
      </c>
      <c r="P42" s="6">
        <v>0.2</v>
      </c>
      <c r="Q42" s="5" t="s">
        <v>37</v>
      </c>
      <c r="R42" s="2">
        <v>2</v>
      </c>
      <c r="S42" s="5" t="s">
        <v>38</v>
      </c>
      <c r="T42" s="3">
        <v>46152.52708333333</v>
      </c>
      <c r="U42" s="6">
        <v>4.75</v>
      </c>
      <c r="V42" s="5" t="s">
        <v>160</v>
      </c>
      <c r="W42" s="5" t="s">
        <v>100</v>
      </c>
      <c r="X42" s="5" t="s">
        <v>44</v>
      </c>
      <c r="Y42" s="5" t="s">
        <v>161</v>
      </c>
    </row>
    <row r="43" spans="1:25">
      <c r="A43" s="2">
        <v>6666</v>
      </c>
      <c r="B43" s="3">
        <v>46151.99513888889</v>
      </c>
      <c r="C43" s="4">
        <v>46151</v>
      </c>
      <c r="D43" s="5" t="s">
        <v>25</v>
      </c>
      <c r="E43" s="5" t="s">
        <v>201</v>
      </c>
      <c r="F43" s="5" t="s">
        <v>202</v>
      </c>
      <c r="G43" s="5" t="s">
        <v>42</v>
      </c>
      <c r="H43" s="5" t="s">
        <v>43</v>
      </c>
      <c r="I43" s="5" t="s">
        <v>30</v>
      </c>
      <c r="J43" s="5" t="s">
        <v>31</v>
      </c>
      <c r="K43" s="5" t="s">
        <v>203</v>
      </c>
      <c r="L43" s="5" t="s">
        <v>204</v>
      </c>
      <c r="M43" s="5" t="s">
        <v>34</v>
      </c>
      <c r="N43" s="5" t="s">
        <v>146</v>
      </c>
      <c r="O43" s="5" t="s">
        <v>55</v>
      </c>
      <c r="P43" s="6">
        <v>0.71</v>
      </c>
      <c r="Q43" s="5" t="s">
        <v>37</v>
      </c>
      <c r="R43" s="2">
        <v>7</v>
      </c>
      <c r="S43" s="5" t="s">
        <v>38</v>
      </c>
      <c r="T43" s="3">
        <v>46152.70625</v>
      </c>
      <c r="U43" s="6">
        <v>17.07</v>
      </c>
      <c r="V43" s="5" t="s">
        <v>123</v>
      </c>
      <c r="W43" s="5" t="s">
        <v>100</v>
      </c>
      <c r="X43" s="5" t="s">
        <v>203</v>
      </c>
      <c r="Y43" s="5" t="s">
        <v>124</v>
      </c>
    </row>
    <row r="44" spans="1:25">
      <c r="A44" s="2">
        <v>6665</v>
      </c>
      <c r="B44" s="3">
        <v>46151.99513888889</v>
      </c>
      <c r="C44" s="4">
        <v>46151</v>
      </c>
      <c r="D44" s="5" t="s">
        <v>25</v>
      </c>
      <c r="E44" s="5" t="s">
        <v>205</v>
      </c>
      <c r="F44" s="5" t="s">
        <v>206</v>
      </c>
      <c r="G44" s="5" t="s">
        <v>88</v>
      </c>
      <c r="H44" s="5" t="s">
        <v>43</v>
      </c>
      <c r="I44" s="5" t="s">
        <v>30</v>
      </c>
      <c r="J44" s="5" t="s">
        <v>31</v>
      </c>
      <c r="K44" s="5" t="s">
        <v>44</v>
      </c>
      <c r="L44" s="5" t="s">
        <v>94</v>
      </c>
      <c r="M44" s="5" t="s">
        <v>34</v>
      </c>
      <c r="N44" s="5" t="s">
        <v>73</v>
      </c>
      <c r="O44" s="5" t="s">
        <v>55</v>
      </c>
      <c r="P44" s="6">
        <v>0.53</v>
      </c>
      <c r="Q44" s="5" t="s">
        <v>37</v>
      </c>
      <c r="R44" s="2">
        <v>2</v>
      </c>
      <c r="S44" s="5" t="s">
        <v>38</v>
      </c>
      <c r="T44" s="3">
        <v>46152.52777777778</v>
      </c>
      <c r="U44" s="6">
        <v>12.78</v>
      </c>
      <c r="V44" s="5" t="s">
        <v>160</v>
      </c>
      <c r="W44" s="5" t="s">
        <v>100</v>
      </c>
      <c r="X44" s="5" t="s">
        <v>44</v>
      </c>
      <c r="Y44" s="5" t="s">
        <v>161</v>
      </c>
    </row>
    <row r="45" spans="1:25">
      <c r="A45" s="2">
        <v>6664</v>
      </c>
      <c r="B45" s="3">
        <v>46151.99444444444</v>
      </c>
      <c r="C45" s="4">
        <v>46151</v>
      </c>
      <c r="D45" s="5" t="s">
        <v>25</v>
      </c>
      <c r="E45" s="5" t="s">
        <v>207</v>
      </c>
      <c r="F45" s="5" t="s">
        <v>208</v>
      </c>
      <c r="G45" s="5" t="s">
        <v>88</v>
      </c>
      <c r="H45" s="5" t="s">
        <v>43</v>
      </c>
      <c r="I45" s="5" t="s">
        <v>30</v>
      </c>
      <c r="J45" s="5" t="s">
        <v>31</v>
      </c>
      <c r="K45" s="5" t="s">
        <v>209</v>
      </c>
      <c r="L45" s="5" t="s">
        <v>210</v>
      </c>
      <c r="M45" s="5" t="s">
        <v>34</v>
      </c>
      <c r="N45" s="5" t="s">
        <v>35</v>
      </c>
      <c r="O45" s="5" t="s">
        <v>55</v>
      </c>
      <c r="P45" s="6">
        <v>0.55</v>
      </c>
      <c r="Q45" s="5" t="s">
        <v>37</v>
      </c>
      <c r="R45" s="2">
        <v>1</v>
      </c>
      <c r="S45" s="5" t="s">
        <v>38</v>
      </c>
      <c r="T45" s="3">
        <v>46152.54513888889</v>
      </c>
      <c r="U45" s="6">
        <v>13.22</v>
      </c>
      <c r="V45" s="5" t="s">
        <v>114</v>
      </c>
      <c r="W45" s="5" t="s">
        <v>100</v>
      </c>
      <c r="X45" s="5" t="s">
        <v>89</v>
      </c>
      <c r="Y45" s="5" t="s">
        <v>211</v>
      </c>
    </row>
    <row r="46" spans="1:25">
      <c r="A46" s="2">
        <v>6663</v>
      </c>
      <c r="B46" s="3">
        <v>46151.99027777778</v>
      </c>
      <c r="C46" s="4">
        <v>46151</v>
      </c>
      <c r="D46" s="5" t="s">
        <v>25</v>
      </c>
      <c r="E46" s="5" t="s">
        <v>207</v>
      </c>
      <c r="F46" s="5" t="s">
        <v>208</v>
      </c>
      <c r="G46" s="5" t="s">
        <v>88</v>
      </c>
      <c r="H46" s="5" t="s">
        <v>43</v>
      </c>
      <c r="I46" s="5" t="s">
        <v>30</v>
      </c>
      <c r="J46" s="5" t="s">
        <v>31</v>
      </c>
      <c r="K46" s="5" t="s">
        <v>209</v>
      </c>
      <c r="L46" s="5" t="s">
        <v>212</v>
      </c>
      <c r="M46" s="5" t="s">
        <v>34</v>
      </c>
      <c r="N46" s="5" t="s">
        <v>35</v>
      </c>
      <c r="O46" s="5" t="s">
        <v>55</v>
      </c>
      <c r="P46" s="6">
        <v>0.5600000000000001</v>
      </c>
      <c r="Q46" s="5" t="s">
        <v>37</v>
      </c>
      <c r="R46" s="2">
        <v>1</v>
      </c>
      <c r="S46" s="5" t="s">
        <v>38</v>
      </c>
      <c r="T46" s="3">
        <v>46152.54583333333</v>
      </c>
      <c r="U46" s="6">
        <v>13.33</v>
      </c>
      <c r="V46" s="5" t="s">
        <v>114</v>
      </c>
      <c r="W46" s="5" t="s">
        <v>100</v>
      </c>
      <c r="X46" s="5" t="s">
        <v>89</v>
      </c>
      <c r="Y46" s="5" t="s">
        <v>116</v>
      </c>
    </row>
    <row r="47" spans="1:25">
      <c r="A47" s="2">
        <v>6662</v>
      </c>
      <c r="B47" s="3">
        <v>46151.92638888889</v>
      </c>
      <c r="C47" s="4">
        <v>46151</v>
      </c>
      <c r="D47" s="5" t="s">
        <v>25</v>
      </c>
      <c r="E47" s="5" t="s">
        <v>91</v>
      </c>
      <c r="F47" s="5" t="s">
        <v>92</v>
      </c>
      <c r="G47" s="5" t="s">
        <v>88</v>
      </c>
      <c r="H47" s="5" t="s">
        <v>43</v>
      </c>
      <c r="I47" s="5" t="s">
        <v>30</v>
      </c>
      <c r="J47" s="5" t="s">
        <v>31</v>
      </c>
      <c r="K47" s="5" t="s">
        <v>93</v>
      </c>
      <c r="L47" s="5" t="s">
        <v>213</v>
      </c>
      <c r="M47" s="5" t="s">
        <v>34</v>
      </c>
      <c r="N47" s="5" t="s">
        <v>73</v>
      </c>
      <c r="O47" s="5" t="s">
        <v>55</v>
      </c>
      <c r="P47" s="6">
        <v>0.59</v>
      </c>
      <c r="Q47" s="5" t="s">
        <v>37</v>
      </c>
      <c r="R47" s="2">
        <v>2</v>
      </c>
      <c r="S47" s="5" t="s">
        <v>38</v>
      </c>
      <c r="T47" s="3">
        <v>46152.51388888889</v>
      </c>
      <c r="U47" s="6">
        <v>14.1</v>
      </c>
      <c r="V47" s="5" t="s">
        <v>123</v>
      </c>
      <c r="W47" s="5" t="s">
        <v>100</v>
      </c>
      <c r="X47" s="5" t="s">
        <v>93</v>
      </c>
      <c r="Y47" s="5" t="s">
        <v>124</v>
      </c>
    </row>
    <row r="48" spans="1:25">
      <c r="A48" s="2">
        <v>6661</v>
      </c>
      <c r="B48" s="3">
        <v>46151.86388888889</v>
      </c>
      <c r="C48" s="4">
        <v>46151</v>
      </c>
      <c r="D48" s="5" t="s">
        <v>25</v>
      </c>
      <c r="E48" s="5" t="s">
        <v>214</v>
      </c>
      <c r="F48" s="5" t="s">
        <v>215</v>
      </c>
      <c r="G48" s="5" t="s">
        <v>137</v>
      </c>
      <c r="H48" s="5" t="s">
        <v>43</v>
      </c>
      <c r="I48" s="5" t="s">
        <v>30</v>
      </c>
      <c r="J48" s="5" t="s">
        <v>31</v>
      </c>
      <c r="K48" s="5" t="s">
        <v>216</v>
      </c>
      <c r="L48" s="5" t="s">
        <v>217</v>
      </c>
      <c r="M48" s="5" t="s">
        <v>34</v>
      </c>
      <c r="N48" s="5" t="s">
        <v>146</v>
      </c>
      <c r="O48" s="5" t="s">
        <v>55</v>
      </c>
      <c r="P48" s="6">
        <v>0.79</v>
      </c>
      <c r="Q48" s="5" t="s">
        <v>37</v>
      </c>
      <c r="R48" s="2">
        <v>7</v>
      </c>
      <c r="S48" s="5" t="s">
        <v>38</v>
      </c>
      <c r="T48" s="3">
        <v>46152.65625</v>
      </c>
      <c r="U48" s="6">
        <v>19.02</v>
      </c>
      <c r="V48" s="5" t="s">
        <v>123</v>
      </c>
      <c r="W48" s="5" t="s">
        <v>100</v>
      </c>
      <c r="X48" s="5" t="s">
        <v>216</v>
      </c>
      <c r="Y48" s="5" t="s">
        <v>124</v>
      </c>
    </row>
    <row r="49" spans="1:25">
      <c r="A49" s="2">
        <v>6660</v>
      </c>
      <c r="B49" s="3">
        <v>46151.86319444444</v>
      </c>
      <c r="C49" s="4">
        <v>46151</v>
      </c>
      <c r="D49" s="5" t="s">
        <v>25</v>
      </c>
      <c r="E49" s="5" t="s">
        <v>214</v>
      </c>
      <c r="F49" s="5" t="s">
        <v>215</v>
      </c>
      <c r="G49" s="5" t="s">
        <v>137</v>
      </c>
      <c r="H49" s="5" t="s">
        <v>43</v>
      </c>
      <c r="I49" s="5" t="s">
        <v>30</v>
      </c>
      <c r="J49" s="5" t="s">
        <v>31</v>
      </c>
      <c r="K49" s="5" t="s">
        <v>216</v>
      </c>
      <c r="L49" s="5" t="s">
        <v>218</v>
      </c>
      <c r="M49" s="5" t="s">
        <v>34</v>
      </c>
      <c r="N49" s="5" t="s">
        <v>146</v>
      </c>
      <c r="O49" s="5" t="s">
        <v>55</v>
      </c>
      <c r="P49" s="6">
        <v>0.8</v>
      </c>
      <c r="Q49" s="5" t="s">
        <v>37</v>
      </c>
      <c r="R49" s="2">
        <v>7</v>
      </c>
      <c r="S49" s="5" t="s">
        <v>38</v>
      </c>
      <c r="T49" s="3">
        <v>46152.66388888889</v>
      </c>
      <c r="U49" s="6">
        <v>19.22</v>
      </c>
      <c r="V49" s="5" t="s">
        <v>123</v>
      </c>
      <c r="W49" s="5" t="s">
        <v>100</v>
      </c>
      <c r="X49" s="5" t="s">
        <v>216</v>
      </c>
      <c r="Y49" s="5" t="s">
        <v>124</v>
      </c>
    </row>
    <row r="50" spans="1:25">
      <c r="A50" s="2">
        <v>6659</v>
      </c>
      <c r="B50" s="3">
        <v>46151.86180555556</v>
      </c>
      <c r="C50" s="4">
        <v>46151</v>
      </c>
      <c r="D50" s="5" t="s">
        <v>25</v>
      </c>
      <c r="E50" s="5" t="s">
        <v>214</v>
      </c>
      <c r="F50" s="5" t="s">
        <v>215</v>
      </c>
      <c r="G50" s="5" t="s">
        <v>137</v>
      </c>
      <c r="H50" s="5" t="s">
        <v>43</v>
      </c>
      <c r="I50" s="5" t="s">
        <v>30</v>
      </c>
      <c r="J50" s="5" t="s">
        <v>31</v>
      </c>
      <c r="K50" s="5" t="s">
        <v>216</v>
      </c>
      <c r="L50" s="5" t="s">
        <v>219</v>
      </c>
      <c r="M50" s="5" t="s">
        <v>34</v>
      </c>
      <c r="N50" s="5" t="s">
        <v>146</v>
      </c>
      <c r="O50" s="5" t="s">
        <v>55</v>
      </c>
      <c r="P50" s="6">
        <v>0.8</v>
      </c>
      <c r="Q50" s="5" t="s">
        <v>37</v>
      </c>
      <c r="R50" s="2">
        <v>7</v>
      </c>
      <c r="S50" s="5" t="s">
        <v>38</v>
      </c>
      <c r="T50" s="3">
        <v>46152.65694444445</v>
      </c>
      <c r="U50" s="6">
        <v>19.08</v>
      </c>
      <c r="V50" s="5" t="s">
        <v>123</v>
      </c>
      <c r="W50" s="5" t="s">
        <v>100</v>
      </c>
      <c r="X50" s="5" t="s">
        <v>216</v>
      </c>
      <c r="Y50" s="5" t="s">
        <v>220</v>
      </c>
    </row>
    <row r="51" spans="1:25">
      <c r="A51" s="2">
        <v>6658</v>
      </c>
      <c r="B51" s="3">
        <v>46151.66944444444</v>
      </c>
      <c r="C51" s="4">
        <v>46151</v>
      </c>
      <c r="D51" s="5" t="s">
        <v>25</v>
      </c>
      <c r="E51" s="5" t="s">
        <v>221</v>
      </c>
      <c r="F51" s="5" t="s">
        <v>222</v>
      </c>
      <c r="G51" s="5" t="s">
        <v>88</v>
      </c>
      <c r="H51" s="5" t="s">
        <v>43</v>
      </c>
      <c r="I51" s="5" t="s">
        <v>70</v>
      </c>
      <c r="J51" s="5" t="s">
        <v>71</v>
      </c>
      <c r="K51" s="5" t="s">
        <v>144</v>
      </c>
      <c r="L51" s="5" t="s">
        <v>223</v>
      </c>
      <c r="M51" s="5" t="s">
        <v>34</v>
      </c>
      <c r="N51" s="5" t="s">
        <v>146</v>
      </c>
      <c r="O51" s="5" t="s">
        <v>55</v>
      </c>
      <c r="P51" s="6">
        <v>2.24</v>
      </c>
      <c r="Q51" s="5" t="s">
        <v>74</v>
      </c>
      <c r="R51" s="2">
        <v>7</v>
      </c>
      <c r="S51" s="5" t="s">
        <v>38</v>
      </c>
      <c r="T51" s="3">
        <v>46153.90486111111</v>
      </c>
      <c r="U51" s="6">
        <v>53.65</v>
      </c>
      <c r="V51" s="5" t="s">
        <v>147</v>
      </c>
      <c r="W51" s="5" t="s">
        <v>100</v>
      </c>
      <c r="X51" s="5" t="s">
        <v>144</v>
      </c>
      <c r="Y51" s="5" t="s">
        <v>224</v>
      </c>
    </row>
    <row r="52" spans="1:25">
      <c r="A52" s="2">
        <v>6657</v>
      </c>
      <c r="B52" s="3">
        <v>46151.59027777778</v>
      </c>
      <c r="C52" s="4">
        <v>46151</v>
      </c>
      <c r="D52" s="5" t="s">
        <v>25</v>
      </c>
      <c r="E52" s="5" t="s">
        <v>225</v>
      </c>
      <c r="F52" s="5" t="s">
        <v>226</v>
      </c>
      <c r="G52" s="5" t="s">
        <v>82</v>
      </c>
      <c r="H52" s="5" t="s">
        <v>43</v>
      </c>
      <c r="I52" s="5" t="s">
        <v>70</v>
      </c>
      <c r="J52" s="5" t="s">
        <v>152</v>
      </c>
      <c r="K52" s="5" t="s">
        <v>60</v>
      </c>
      <c r="L52" s="5" t="s">
        <v>227</v>
      </c>
      <c r="M52" s="5" t="s">
        <v>52</v>
      </c>
      <c r="N52" s="5" t="s">
        <v>146</v>
      </c>
      <c r="O52" s="5" t="s">
        <v>55</v>
      </c>
      <c r="P52" s="6">
        <v>0.33</v>
      </c>
      <c r="Q52" s="5" t="s">
        <v>37</v>
      </c>
      <c r="R52" s="2">
        <v>7</v>
      </c>
      <c r="S52" s="5" t="s">
        <v>38</v>
      </c>
      <c r="T52" s="3">
        <v>46151.91875</v>
      </c>
      <c r="U52" s="6">
        <v>7.88</v>
      </c>
      <c r="V52" s="5" t="s">
        <v>56</v>
      </c>
      <c r="W52" s="5" t="s">
        <v>29</v>
      </c>
      <c r="X52" s="5" t="s">
        <v>60</v>
      </c>
      <c r="Y52" s="5" t="s">
        <v>58</v>
      </c>
    </row>
    <row r="53" spans="1:25">
      <c r="A53" s="2">
        <v>6656</v>
      </c>
      <c r="B53" s="3">
        <v>46151.5375</v>
      </c>
      <c r="C53" s="4">
        <v>46151</v>
      </c>
      <c r="D53" s="5" t="s">
        <v>25</v>
      </c>
      <c r="E53" s="5" t="s">
        <v>110</v>
      </c>
      <c r="F53" s="5" t="s">
        <v>111</v>
      </c>
      <c r="G53" s="5" t="s">
        <v>112</v>
      </c>
      <c r="H53" s="5" t="s">
        <v>29</v>
      </c>
      <c r="I53" s="5" t="s">
        <v>30</v>
      </c>
      <c r="J53" s="5" t="s">
        <v>31</v>
      </c>
      <c r="K53" s="5" t="s">
        <v>50</v>
      </c>
      <c r="L53" s="5" t="s">
        <v>228</v>
      </c>
      <c r="M53" s="5" t="s">
        <v>34</v>
      </c>
      <c r="N53" s="5" t="s">
        <v>35</v>
      </c>
      <c r="O53" s="5" t="s">
        <v>55</v>
      </c>
      <c r="P53" s="6">
        <v>0.27</v>
      </c>
      <c r="Q53" s="5" t="s">
        <v>37</v>
      </c>
      <c r="R53" s="2">
        <v>1</v>
      </c>
      <c r="S53" s="5" t="s">
        <v>38</v>
      </c>
      <c r="T53" s="3">
        <v>46151.80555555555</v>
      </c>
      <c r="U53" s="6">
        <v>6.43</v>
      </c>
      <c r="V53" s="5" t="s">
        <v>114</v>
      </c>
      <c r="W53" s="5" t="s">
        <v>100</v>
      </c>
      <c r="X53" s="5" t="s">
        <v>229</v>
      </c>
      <c r="Y53" s="5" t="s">
        <v>230</v>
      </c>
    </row>
    <row r="54" spans="1:25">
      <c r="A54" s="2">
        <v>6655</v>
      </c>
      <c r="B54" s="3">
        <v>46151.53680555556</v>
      </c>
      <c r="C54" s="4">
        <v>46151</v>
      </c>
      <c r="D54" s="5" t="s">
        <v>25</v>
      </c>
      <c r="E54" s="5" t="s">
        <v>110</v>
      </c>
      <c r="F54" s="5" t="s">
        <v>111</v>
      </c>
      <c r="G54" s="5" t="s">
        <v>112</v>
      </c>
      <c r="H54" s="5" t="s">
        <v>29</v>
      </c>
      <c r="I54" s="5" t="s">
        <v>30</v>
      </c>
      <c r="J54" s="5" t="s">
        <v>31</v>
      </c>
      <c r="K54" s="5" t="s">
        <v>50</v>
      </c>
      <c r="L54" s="5" t="s">
        <v>231</v>
      </c>
      <c r="M54" s="5" t="s">
        <v>34</v>
      </c>
      <c r="N54" s="5" t="s">
        <v>73</v>
      </c>
      <c r="O54" s="5" t="s">
        <v>55</v>
      </c>
      <c r="P54" s="6">
        <v>0.27</v>
      </c>
      <c r="Q54" s="5" t="s">
        <v>37</v>
      </c>
      <c r="R54" s="2">
        <v>2</v>
      </c>
      <c r="S54" s="5" t="s">
        <v>38</v>
      </c>
      <c r="T54" s="3">
        <v>46151.80625</v>
      </c>
      <c r="U54" s="6">
        <v>6.47</v>
      </c>
      <c r="V54" s="5" t="s">
        <v>114</v>
      </c>
      <c r="W54" s="5" t="s">
        <v>100</v>
      </c>
      <c r="X54" s="5" t="s">
        <v>229</v>
      </c>
      <c r="Y54" s="5" t="s">
        <v>232</v>
      </c>
    </row>
    <row r="55" spans="1:25">
      <c r="A55" s="2">
        <v>6654</v>
      </c>
      <c r="B55" s="3">
        <v>46151.49444444444</v>
      </c>
      <c r="C55" s="4">
        <v>46151</v>
      </c>
      <c r="D55" s="5" t="s">
        <v>25</v>
      </c>
      <c r="E55" s="5" t="s">
        <v>233</v>
      </c>
      <c r="F55" s="5" t="s">
        <v>234</v>
      </c>
      <c r="G55" s="5" t="s">
        <v>88</v>
      </c>
      <c r="H55" s="5" t="s">
        <v>43</v>
      </c>
      <c r="I55" s="5" t="s">
        <v>70</v>
      </c>
      <c r="J55" s="5" t="s">
        <v>71</v>
      </c>
      <c r="K55" s="5" t="s">
        <v>235</v>
      </c>
      <c r="L55" s="5" t="s">
        <v>236</v>
      </c>
      <c r="M55" s="5" t="s">
        <v>34</v>
      </c>
      <c r="N55" s="5" t="s">
        <v>73</v>
      </c>
      <c r="O55" s="5" t="s">
        <v>55</v>
      </c>
      <c r="P55" s="6">
        <v>0.32</v>
      </c>
      <c r="Q55" s="5" t="s">
        <v>37</v>
      </c>
      <c r="R55" s="2">
        <v>2</v>
      </c>
      <c r="S55" s="5" t="s">
        <v>38</v>
      </c>
      <c r="T55" s="3">
        <v>46151.81041666667</v>
      </c>
      <c r="U55" s="6">
        <v>7.58</v>
      </c>
      <c r="V55" s="5" t="s">
        <v>154</v>
      </c>
      <c r="W55" s="5" t="s">
        <v>100</v>
      </c>
      <c r="X55" s="5" t="s">
        <v>235</v>
      </c>
      <c r="Y55" s="5" t="s">
        <v>192</v>
      </c>
    </row>
    <row r="56" spans="1:25">
      <c r="A56" s="2">
        <v>6653</v>
      </c>
      <c r="B56" s="3">
        <v>46151.49027777778</v>
      </c>
      <c r="C56" s="4">
        <v>46151</v>
      </c>
      <c r="D56" s="5" t="s">
        <v>25</v>
      </c>
      <c r="E56" s="5" t="s">
        <v>40</v>
      </c>
      <c r="F56" s="5" t="s">
        <v>41</v>
      </c>
      <c r="G56" s="5" t="s">
        <v>42</v>
      </c>
      <c r="H56" s="5" t="s">
        <v>43</v>
      </c>
      <c r="I56" s="5" t="s">
        <v>30</v>
      </c>
      <c r="J56" s="5" t="s">
        <v>31</v>
      </c>
      <c r="K56" s="5" t="s">
        <v>44</v>
      </c>
      <c r="L56" s="5" t="s">
        <v>237</v>
      </c>
      <c r="M56" s="5" t="s">
        <v>34</v>
      </c>
      <c r="N56" s="5" t="s">
        <v>73</v>
      </c>
      <c r="O56" s="5" t="s">
        <v>55</v>
      </c>
      <c r="P56" s="6">
        <v>0.39</v>
      </c>
      <c r="Q56" s="5" t="s">
        <v>37</v>
      </c>
      <c r="R56" s="2">
        <v>2</v>
      </c>
      <c r="S56" s="5" t="s">
        <v>38</v>
      </c>
      <c r="T56" s="3">
        <v>46151.88263888889</v>
      </c>
      <c r="U56" s="6">
        <v>9.42</v>
      </c>
      <c r="V56" s="5" t="s">
        <v>160</v>
      </c>
      <c r="W56" s="5" t="s">
        <v>100</v>
      </c>
      <c r="X56" s="5" t="s">
        <v>44</v>
      </c>
      <c r="Y56" s="5" t="s">
        <v>161</v>
      </c>
    </row>
    <row r="57" spans="1:25">
      <c r="A57" s="2">
        <v>6652</v>
      </c>
      <c r="B57" s="3">
        <v>46151.41944444444</v>
      </c>
      <c r="C57" s="4">
        <v>46151</v>
      </c>
      <c r="D57" s="5" t="s">
        <v>25</v>
      </c>
      <c r="E57" s="5" t="s">
        <v>238</v>
      </c>
      <c r="F57" s="5" t="s">
        <v>239</v>
      </c>
      <c r="G57" s="5" t="s">
        <v>88</v>
      </c>
      <c r="H57" s="5" t="s">
        <v>43</v>
      </c>
      <c r="I57" s="5" t="s">
        <v>70</v>
      </c>
      <c r="J57" s="5" t="s">
        <v>152</v>
      </c>
      <c r="K57" s="5" t="s">
        <v>240</v>
      </c>
      <c r="L57" s="5" t="s">
        <v>241</v>
      </c>
      <c r="M57" s="5" t="s">
        <v>34</v>
      </c>
      <c r="N57" s="5" t="s">
        <v>46</v>
      </c>
      <c r="O57" s="5" t="s">
        <v>36</v>
      </c>
      <c r="P57" s="6">
        <v>3.58</v>
      </c>
      <c r="Q57" s="5" t="s">
        <v>242</v>
      </c>
      <c r="R57" s="2">
        <v>5</v>
      </c>
      <c r="S57" s="5" t="s">
        <v>38</v>
      </c>
      <c r="X57" s="5" t="s">
        <v>240</v>
      </c>
    </row>
    <row r="58" spans="1:25">
      <c r="A58" s="2">
        <v>6651</v>
      </c>
      <c r="B58" s="3">
        <v>46151.4</v>
      </c>
      <c r="C58" s="4">
        <v>46151</v>
      </c>
      <c r="D58" s="5" t="s">
        <v>25</v>
      </c>
      <c r="E58" s="5" t="s">
        <v>243</v>
      </c>
      <c r="F58" s="5" t="s">
        <v>244</v>
      </c>
      <c r="G58" s="5" t="s">
        <v>137</v>
      </c>
      <c r="H58" s="5" t="s">
        <v>43</v>
      </c>
      <c r="I58" s="5" t="s">
        <v>30</v>
      </c>
      <c r="J58" s="5" t="s">
        <v>31</v>
      </c>
      <c r="K58" s="5" t="s">
        <v>245</v>
      </c>
      <c r="L58" s="5" t="s">
        <v>246</v>
      </c>
      <c r="M58" s="5" t="s">
        <v>52</v>
      </c>
      <c r="N58" s="5" t="s">
        <v>46</v>
      </c>
      <c r="O58" s="5" t="s">
        <v>36</v>
      </c>
      <c r="P58" s="6">
        <v>3.6</v>
      </c>
      <c r="Q58" s="5" t="s">
        <v>242</v>
      </c>
      <c r="R58" s="2">
        <v>5</v>
      </c>
      <c r="S58" s="5" t="s">
        <v>38</v>
      </c>
      <c r="X58" s="5" t="s">
        <v>245</v>
      </c>
    </row>
    <row r="59" spans="1:25">
      <c r="A59" s="2">
        <v>6650</v>
      </c>
      <c r="B59" s="3">
        <v>46151.30208333334</v>
      </c>
      <c r="C59" s="4">
        <v>46151</v>
      </c>
      <c r="D59" s="5" t="s">
        <v>25</v>
      </c>
      <c r="E59" s="5" t="s">
        <v>188</v>
      </c>
      <c r="F59" s="5" t="s">
        <v>189</v>
      </c>
      <c r="G59" s="5" t="s">
        <v>182</v>
      </c>
      <c r="H59" s="5" t="s">
        <v>43</v>
      </c>
      <c r="I59" s="5" t="s">
        <v>70</v>
      </c>
      <c r="J59" s="5" t="s">
        <v>152</v>
      </c>
      <c r="K59" s="5" t="s">
        <v>190</v>
      </c>
      <c r="L59" s="5" t="s">
        <v>247</v>
      </c>
      <c r="M59" s="5" t="s">
        <v>34</v>
      </c>
      <c r="N59" s="5" t="s">
        <v>73</v>
      </c>
      <c r="O59" s="5" t="s">
        <v>55</v>
      </c>
      <c r="P59" s="6">
        <v>0.51</v>
      </c>
      <c r="Q59" s="5" t="s">
        <v>37</v>
      </c>
      <c r="R59" s="2">
        <v>2</v>
      </c>
      <c r="S59" s="5" t="s">
        <v>38</v>
      </c>
      <c r="T59" s="3">
        <v>46151.81111111111</v>
      </c>
      <c r="U59" s="6">
        <v>12.22</v>
      </c>
      <c r="V59" s="5" t="s">
        <v>154</v>
      </c>
      <c r="W59" s="5" t="s">
        <v>100</v>
      </c>
      <c r="X59" s="5" t="s">
        <v>190</v>
      </c>
      <c r="Y59" s="5" t="s">
        <v>192</v>
      </c>
    </row>
    <row r="60" spans="1:25">
      <c r="A60" s="2">
        <v>6649</v>
      </c>
      <c r="B60" s="3">
        <v>46151.29444444444</v>
      </c>
      <c r="C60" s="4">
        <v>46151</v>
      </c>
      <c r="D60" s="5" t="s">
        <v>25</v>
      </c>
      <c r="E60" s="5" t="s">
        <v>47</v>
      </c>
      <c r="F60" s="5" t="s">
        <v>48</v>
      </c>
      <c r="G60" s="5" t="s">
        <v>49</v>
      </c>
      <c r="H60" s="5" t="s">
        <v>29</v>
      </c>
      <c r="I60" s="5" t="s">
        <v>30</v>
      </c>
      <c r="J60" s="5" t="s">
        <v>31</v>
      </c>
      <c r="K60" s="5" t="s">
        <v>50</v>
      </c>
      <c r="L60" s="5" t="s">
        <v>248</v>
      </c>
      <c r="M60" s="5" t="s">
        <v>52</v>
      </c>
      <c r="N60" s="5" t="s">
        <v>35</v>
      </c>
      <c r="O60" s="5" t="s">
        <v>55</v>
      </c>
      <c r="P60" s="6">
        <v>0.21</v>
      </c>
      <c r="Q60" s="5" t="s">
        <v>37</v>
      </c>
      <c r="R60" s="2">
        <v>1</v>
      </c>
      <c r="S60" s="5" t="s">
        <v>38</v>
      </c>
      <c r="T60" s="3">
        <v>46151.50347222222</v>
      </c>
      <c r="U60" s="6">
        <v>5.02</v>
      </c>
      <c r="V60" s="5" t="s">
        <v>56</v>
      </c>
      <c r="W60" s="5" t="s">
        <v>29</v>
      </c>
      <c r="X60" s="5" t="s">
        <v>249</v>
      </c>
      <c r="Y60" s="5" t="s">
        <v>58</v>
      </c>
    </row>
    <row r="61" spans="1:25">
      <c r="A61" s="2">
        <v>6648</v>
      </c>
      <c r="B61" s="3">
        <v>46151.29305555556</v>
      </c>
      <c r="C61" s="4">
        <v>46151</v>
      </c>
      <c r="D61" s="5" t="s">
        <v>25</v>
      </c>
      <c r="E61" s="5" t="s">
        <v>250</v>
      </c>
      <c r="F61" s="5" t="s">
        <v>251</v>
      </c>
      <c r="G61" s="5" t="s">
        <v>182</v>
      </c>
      <c r="H61" s="5" t="s">
        <v>43</v>
      </c>
      <c r="I61" s="5" t="s">
        <v>70</v>
      </c>
      <c r="J61" s="5" t="s">
        <v>152</v>
      </c>
      <c r="K61" s="5" t="s">
        <v>249</v>
      </c>
      <c r="L61" s="5" t="s">
        <v>252</v>
      </c>
      <c r="M61" s="5" t="s">
        <v>34</v>
      </c>
      <c r="N61" s="5" t="s">
        <v>35</v>
      </c>
      <c r="O61" s="5" t="s">
        <v>55</v>
      </c>
      <c r="P61" s="6">
        <v>0.07000000000000001</v>
      </c>
      <c r="Q61" s="5" t="s">
        <v>37</v>
      </c>
      <c r="R61" s="2">
        <v>1</v>
      </c>
      <c r="S61" s="5" t="s">
        <v>38</v>
      </c>
      <c r="T61" s="3">
        <v>46151.36180555556</v>
      </c>
      <c r="U61" s="6">
        <v>1.65</v>
      </c>
      <c r="V61" s="5" t="s">
        <v>154</v>
      </c>
      <c r="W61" s="5" t="s">
        <v>100</v>
      </c>
      <c r="X61" s="5" t="s">
        <v>249</v>
      </c>
      <c r="Y61" s="5" t="s">
        <v>253</v>
      </c>
    </row>
    <row r="62" spans="1:25">
      <c r="A62" s="2">
        <v>6647</v>
      </c>
      <c r="B62" s="3">
        <v>46151.20347222222</v>
      </c>
      <c r="C62" s="4">
        <v>46151</v>
      </c>
      <c r="D62" s="5" t="s">
        <v>25</v>
      </c>
      <c r="E62" s="5" t="s">
        <v>254</v>
      </c>
      <c r="F62" s="5" t="s">
        <v>255</v>
      </c>
      <c r="G62" s="5" t="s">
        <v>88</v>
      </c>
      <c r="H62" s="5" t="s">
        <v>43</v>
      </c>
      <c r="I62" s="5" t="s">
        <v>30</v>
      </c>
      <c r="J62" s="5" t="s">
        <v>31</v>
      </c>
      <c r="K62" s="5" t="s">
        <v>256</v>
      </c>
      <c r="L62" s="5" t="s">
        <v>257</v>
      </c>
      <c r="M62" s="5" t="s">
        <v>34</v>
      </c>
      <c r="N62" s="5" t="s">
        <v>35</v>
      </c>
      <c r="O62" s="5" t="s">
        <v>55</v>
      </c>
      <c r="P62" s="6">
        <v>1.53</v>
      </c>
      <c r="Q62" s="5" t="s">
        <v>74</v>
      </c>
      <c r="R62" s="2">
        <v>1</v>
      </c>
      <c r="S62" s="5" t="s">
        <v>79</v>
      </c>
      <c r="T62" s="3">
        <v>46152.73541666667</v>
      </c>
      <c r="U62" s="6">
        <v>36.77</v>
      </c>
      <c r="V62" s="5" t="s">
        <v>160</v>
      </c>
      <c r="W62" s="5" t="s">
        <v>100</v>
      </c>
      <c r="X62" s="5" t="s">
        <v>256</v>
      </c>
      <c r="Y62" s="5" t="s">
        <v>258</v>
      </c>
    </row>
    <row r="63" spans="1:25">
      <c r="A63" s="2">
        <v>6646</v>
      </c>
      <c r="B63" s="3">
        <v>46151.13333333333</v>
      </c>
      <c r="C63" s="4">
        <v>46151</v>
      </c>
      <c r="D63" s="5" t="s">
        <v>25</v>
      </c>
      <c r="E63" s="5" t="s">
        <v>259</v>
      </c>
      <c r="F63" s="5" t="s">
        <v>260</v>
      </c>
      <c r="G63" s="5" t="s">
        <v>88</v>
      </c>
      <c r="H63" s="5" t="s">
        <v>43</v>
      </c>
      <c r="I63" s="5" t="s">
        <v>30</v>
      </c>
      <c r="J63" s="5" t="s">
        <v>31</v>
      </c>
      <c r="K63" s="5" t="s">
        <v>261</v>
      </c>
      <c r="L63" s="5" t="s">
        <v>262</v>
      </c>
      <c r="M63" s="5" t="s">
        <v>34</v>
      </c>
      <c r="N63" s="5" t="s">
        <v>35</v>
      </c>
      <c r="O63" s="5" t="s">
        <v>36</v>
      </c>
      <c r="P63" s="6">
        <v>3.87</v>
      </c>
      <c r="Q63" s="5" t="s">
        <v>242</v>
      </c>
      <c r="R63" s="2">
        <v>1</v>
      </c>
      <c r="S63" s="5" t="s">
        <v>79</v>
      </c>
      <c r="X63" s="5" t="s">
        <v>261</v>
      </c>
    </row>
  </sheetData>
  <conditionalFormatting sqref="N2:N63">
    <cfRule type="containsText" dxfId="2" priority="4" operator="containsText" text="Critical">
      <formula>NOT(ISERROR(SEARCH("Critical",N2)))</formula>
    </cfRule>
    <cfRule type="containsText" dxfId="3" priority="5" operator="containsText" text="High">
      <formula>NOT(ISERROR(SEARCH("High",N2)))</formula>
    </cfRule>
    <cfRule type="containsText" dxfId="4" priority="6" operator="containsText" text="Medium">
      <formula>NOT(ISERROR(SEARCH("Medium",N2)))</formula>
    </cfRule>
    <cfRule type="containsText" dxfId="1" priority="7" operator="containsText" text="Low">
      <formula>NOT(ISERROR(SEARCH("Low",N2)))</formula>
    </cfRule>
  </conditionalFormatting>
  <conditionalFormatting sqref="P2:P63">
    <cfRule type="colorScale" priority="1">
      <colorScale>
        <cfvo type="min" val="0"/>
        <cfvo type="percentile" val="50"/>
        <cfvo type="max" val="0"/>
        <color rgb="FF86EFAC"/>
        <color rgb="FFFDE68A"/>
        <color rgb="FFFCA5A5"/>
      </colorScale>
    </cfRule>
  </conditionalFormatting>
  <conditionalFormatting sqref="S2:S63">
    <cfRule type="containsText" dxfId="0" priority="2" operator="containsText" text="Breach">
      <formula>NOT(ISERROR(SEARCH("Breach",S2)))</formula>
    </cfRule>
    <cfRule type="containsText" dxfId="1" priority="3" operator="containsText" text="Met">
      <formula>NOT(ISERROR(SEARCH("Met",S2)))</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sheetPr>
    <tabColor rgb="FFA78BFA"/>
  </sheetPr>
  <dimension ref="A1:E92"/>
  <sheetViews>
    <sheetView showGridLines="0" zoomScale="95" zoomScaleNormal="95" workbookViewId="0"/>
  </sheetViews>
  <sheetFormatPr defaultRowHeight="15"/>
  <cols>
    <col min="1" max="1" width="28.7109375" customWidth="1"/>
    <col min="2" max="7" width="16.7109375" customWidth="1"/>
  </cols>
  <sheetData>
    <row r="1" spans="1:2">
      <c r="A1" s="7" t="s">
        <v>263</v>
      </c>
    </row>
    <row r="2" spans="1:2">
      <c r="A2" s="8" t="s">
        <v>264</v>
      </c>
      <c r="B2" s="8" t="s">
        <v>265</v>
      </c>
    </row>
    <row r="3" spans="1:2">
      <c r="A3" s="9" t="s">
        <v>266</v>
      </c>
      <c r="B3" s="10">
        <v>62</v>
      </c>
    </row>
    <row r="4" spans="1:2">
      <c r="A4" s="9" t="s">
        <v>267</v>
      </c>
      <c r="B4" s="10">
        <v>22</v>
      </c>
    </row>
    <row r="5" spans="1:2">
      <c r="A5" s="9" t="s">
        <v>268</v>
      </c>
      <c r="B5" s="10">
        <v>40</v>
      </c>
    </row>
    <row r="6" spans="1:2">
      <c r="A6" s="9" t="s">
        <v>269</v>
      </c>
      <c r="B6" s="10">
        <v>21</v>
      </c>
    </row>
    <row r="7" spans="1:2">
      <c r="A7" s="9" t="s">
        <v>270</v>
      </c>
      <c r="B7" s="10">
        <v>7</v>
      </c>
    </row>
    <row r="8" spans="1:2">
      <c r="A8" s="9" t="s">
        <v>271</v>
      </c>
      <c r="B8" s="10">
        <v>55</v>
      </c>
    </row>
    <row r="9" spans="1:2">
      <c r="A9" s="9" t="s">
        <v>272</v>
      </c>
      <c r="B9" s="11">
        <v>0.1129032258064516</v>
      </c>
    </row>
    <row r="10" spans="1:2">
      <c r="A10" s="9" t="s">
        <v>273</v>
      </c>
      <c r="B10" s="12">
        <v>0.9288709677419356</v>
      </c>
    </row>
    <row r="11" spans="1:2">
      <c r="A11" s="9" t="s">
        <v>274</v>
      </c>
      <c r="B11" s="12">
        <v>13.39825</v>
      </c>
    </row>
    <row r="12" spans="1:2">
      <c r="A12" s="9" t="s">
        <v>275</v>
      </c>
      <c r="B12" s="10">
        <v>62</v>
      </c>
    </row>
    <row r="13" spans="1:2">
      <c r="A13" s="9" t="s">
        <v>276</v>
      </c>
      <c r="B13" s="10">
        <v>8</v>
      </c>
    </row>
    <row r="14" spans="1:2">
      <c r="A14" s="9" t="s">
        <v>277</v>
      </c>
      <c r="B14" s="9" t="s">
        <v>34</v>
      </c>
    </row>
    <row r="15" spans="1:2">
      <c r="A15" s="9" t="s">
        <v>278</v>
      </c>
      <c r="B15" s="9" t="s">
        <v>31</v>
      </c>
    </row>
    <row r="17" spans="1:5">
      <c r="A17" s="7" t="s">
        <v>279</v>
      </c>
    </row>
    <row r="18" spans="1:5">
      <c r="A18" s="8" t="s">
        <v>12</v>
      </c>
      <c r="B18" s="8" t="s">
        <v>280</v>
      </c>
      <c r="C18" s="8" t="s">
        <v>36</v>
      </c>
      <c r="D18" s="8" t="s">
        <v>55</v>
      </c>
    </row>
    <row r="19" spans="1:5">
      <c r="A19" s="9" t="s">
        <v>52</v>
      </c>
      <c r="B19" s="10">
        <v>9</v>
      </c>
      <c r="C19" s="10">
        <v>5</v>
      </c>
      <c r="D19" s="10">
        <v>4</v>
      </c>
    </row>
    <row r="20" spans="1:5">
      <c r="A20" s="9" t="s">
        <v>167</v>
      </c>
      <c r="B20" s="10">
        <v>1</v>
      </c>
      <c r="C20" s="10">
        <v>1</v>
      </c>
      <c r="D20" s="10">
        <v>0</v>
      </c>
    </row>
    <row r="21" spans="1:5">
      <c r="A21" s="9" t="s">
        <v>34</v>
      </c>
      <c r="B21" s="10">
        <v>52</v>
      </c>
      <c r="C21" s="10">
        <v>16</v>
      </c>
      <c r="D21" s="10">
        <v>36</v>
      </c>
    </row>
    <row r="23" spans="1:5">
      <c r="A23" s="7" t="s">
        <v>281</v>
      </c>
    </row>
    <row r="24" spans="1:5">
      <c r="A24" s="8" t="s">
        <v>9</v>
      </c>
      <c r="B24" s="8" t="s">
        <v>280</v>
      </c>
      <c r="C24" s="8" t="s">
        <v>36</v>
      </c>
      <c r="D24" s="8" t="s">
        <v>55</v>
      </c>
      <c r="E24" s="8" t="s">
        <v>282</v>
      </c>
    </row>
    <row r="25" spans="1:5">
      <c r="A25" s="9" t="s">
        <v>31</v>
      </c>
      <c r="B25" s="10">
        <v>47</v>
      </c>
      <c r="C25" s="10">
        <v>19</v>
      </c>
      <c r="D25" s="10">
        <v>28</v>
      </c>
      <c r="E25" s="10">
        <v>5</v>
      </c>
    </row>
    <row r="26" spans="1:5">
      <c r="A26" s="9" t="s">
        <v>152</v>
      </c>
      <c r="B26" s="10">
        <v>6</v>
      </c>
      <c r="C26" s="10">
        <v>1</v>
      </c>
      <c r="D26" s="10">
        <v>5</v>
      </c>
      <c r="E26" s="10">
        <v>1</v>
      </c>
    </row>
    <row r="27" spans="1:5">
      <c r="A27" s="9" t="s">
        <v>71</v>
      </c>
      <c r="B27" s="10">
        <v>5</v>
      </c>
      <c r="C27" s="10">
        <v>1</v>
      </c>
      <c r="D27" s="10">
        <v>4</v>
      </c>
      <c r="E27" s="10">
        <v>0</v>
      </c>
    </row>
    <row r="28" spans="1:5">
      <c r="A28" s="9" t="s">
        <v>173</v>
      </c>
      <c r="B28" s="10">
        <v>2</v>
      </c>
      <c r="C28" s="10">
        <v>0</v>
      </c>
      <c r="D28" s="10">
        <v>2</v>
      </c>
      <c r="E28" s="10">
        <v>0</v>
      </c>
    </row>
    <row r="29" spans="1:5">
      <c r="A29" s="9" t="s">
        <v>143</v>
      </c>
      <c r="B29" s="10">
        <v>1</v>
      </c>
      <c r="C29" s="10">
        <v>0</v>
      </c>
      <c r="D29" s="10">
        <v>1</v>
      </c>
      <c r="E29" s="10">
        <v>0</v>
      </c>
    </row>
    <row r="30" spans="1:5">
      <c r="A30" s="9" t="s">
        <v>164</v>
      </c>
      <c r="B30" s="10">
        <v>1</v>
      </c>
      <c r="C30" s="10">
        <v>1</v>
      </c>
      <c r="D30" s="10">
        <v>0</v>
      </c>
      <c r="E30" s="10">
        <v>1</v>
      </c>
    </row>
    <row r="32" spans="1:5">
      <c r="A32" s="7" t="s">
        <v>283</v>
      </c>
    </row>
    <row r="33" spans="1:3">
      <c r="A33" s="8" t="s">
        <v>8</v>
      </c>
      <c r="B33" s="8" t="s">
        <v>284</v>
      </c>
    </row>
    <row r="34" spans="1:3">
      <c r="A34" s="9" t="s">
        <v>30</v>
      </c>
      <c r="B34" s="10">
        <v>47</v>
      </c>
    </row>
    <row r="35" spans="1:3">
      <c r="A35" s="9" t="s">
        <v>70</v>
      </c>
      <c r="B35" s="10">
        <v>13</v>
      </c>
    </row>
    <row r="36" spans="1:3">
      <c r="A36" s="9" t="s">
        <v>172</v>
      </c>
      <c r="B36" s="10">
        <v>2</v>
      </c>
    </row>
    <row r="38" spans="1:3">
      <c r="A38" s="7" t="s">
        <v>285</v>
      </c>
    </row>
    <row r="39" spans="1:3">
      <c r="A39" s="8" t="s">
        <v>13</v>
      </c>
      <c r="B39" s="8" t="s">
        <v>284</v>
      </c>
      <c r="C39" s="8" t="s">
        <v>282</v>
      </c>
    </row>
    <row r="40" spans="1:3">
      <c r="A40" s="9" t="s">
        <v>35</v>
      </c>
      <c r="B40" s="10">
        <v>21</v>
      </c>
      <c r="C40" s="10">
        <v>6</v>
      </c>
    </row>
    <row r="41" spans="1:3">
      <c r="A41" s="9" t="s">
        <v>73</v>
      </c>
      <c r="B41" s="10">
        <v>18</v>
      </c>
      <c r="C41" s="10">
        <v>1</v>
      </c>
    </row>
    <row r="42" spans="1:3">
      <c r="A42" s="9" t="s">
        <v>122</v>
      </c>
      <c r="B42" s="10">
        <v>7</v>
      </c>
      <c r="C42" s="10">
        <v>0</v>
      </c>
    </row>
    <row r="43" spans="1:3">
      <c r="A43" s="9" t="s">
        <v>146</v>
      </c>
      <c r="B43" s="10">
        <v>8</v>
      </c>
      <c r="C43" s="10">
        <v>0</v>
      </c>
    </row>
    <row r="44" spans="1:3">
      <c r="A44" s="9" t="s">
        <v>46</v>
      </c>
      <c r="B44" s="10">
        <v>8</v>
      </c>
      <c r="C44" s="10">
        <v>0</v>
      </c>
    </row>
    <row r="46" spans="1:3">
      <c r="A46" s="7" t="s">
        <v>286</v>
      </c>
    </row>
    <row r="47" spans="1:3">
      <c r="A47" s="8" t="s">
        <v>14</v>
      </c>
      <c r="B47" s="8" t="s">
        <v>284</v>
      </c>
    </row>
    <row r="48" spans="1:3">
      <c r="A48" s="9" t="s">
        <v>55</v>
      </c>
      <c r="B48" s="10">
        <v>40</v>
      </c>
    </row>
    <row r="49" spans="1:4">
      <c r="A49" s="9" t="s">
        <v>36</v>
      </c>
      <c r="B49" s="10">
        <v>22</v>
      </c>
    </row>
    <row r="51" spans="1:4">
      <c r="A51" s="7" t="s">
        <v>287</v>
      </c>
    </row>
    <row r="52" spans="1:4">
      <c r="A52" s="8" t="s">
        <v>288</v>
      </c>
      <c r="B52" s="8" t="s">
        <v>284</v>
      </c>
    </row>
    <row r="53" spans="1:4">
      <c r="A53" s="9" t="s">
        <v>37</v>
      </c>
      <c r="B53" s="10">
        <v>38</v>
      </c>
    </row>
    <row r="54" spans="1:4">
      <c r="A54" s="9" t="s">
        <v>74</v>
      </c>
      <c r="B54" s="10">
        <v>21</v>
      </c>
    </row>
    <row r="55" spans="1:4">
      <c r="A55" s="9" t="s">
        <v>242</v>
      </c>
      <c r="B55" s="10">
        <v>3</v>
      </c>
    </row>
    <row r="56" spans="1:4">
      <c r="A56" s="9" t="s">
        <v>289</v>
      </c>
      <c r="B56" s="10">
        <v>0</v>
      </c>
    </row>
    <row r="57" spans="1:4">
      <c r="A57" s="9" t="s">
        <v>290</v>
      </c>
      <c r="B57" s="10">
        <v>0</v>
      </c>
    </row>
    <row r="59" spans="1:4">
      <c r="A59" s="7" t="s">
        <v>291</v>
      </c>
    </row>
    <row r="60" spans="1:4">
      <c r="A60" s="8" t="s">
        <v>292</v>
      </c>
      <c r="B60" s="8" t="s">
        <v>280</v>
      </c>
      <c r="C60" s="8" t="s">
        <v>55</v>
      </c>
      <c r="D60" s="8" t="s">
        <v>36</v>
      </c>
    </row>
    <row r="61" spans="1:4">
      <c r="A61" s="9" t="s">
        <v>25</v>
      </c>
      <c r="B61" s="10">
        <v>62</v>
      </c>
      <c r="C61" s="10">
        <v>40</v>
      </c>
      <c r="D61" s="10">
        <v>22</v>
      </c>
    </row>
    <row r="63" spans="1:4">
      <c r="A63" s="7" t="s">
        <v>293</v>
      </c>
    </row>
    <row r="64" spans="1:4">
      <c r="A64" s="8" t="s">
        <v>294</v>
      </c>
      <c r="B64" s="8" t="s">
        <v>284</v>
      </c>
    </row>
    <row r="65" spans="1:3">
      <c r="A65" s="9" t="s">
        <v>295</v>
      </c>
      <c r="B65" s="10">
        <v>21</v>
      </c>
    </row>
    <row r="66" spans="1:3">
      <c r="A66" s="9" t="s">
        <v>296</v>
      </c>
      <c r="B66" s="10">
        <v>17</v>
      </c>
    </row>
    <row r="67" spans="1:3">
      <c r="A67" s="9" t="s">
        <v>297</v>
      </c>
      <c r="B67" s="10">
        <v>16</v>
      </c>
    </row>
    <row r="68" spans="1:3">
      <c r="A68" s="9" t="s">
        <v>298</v>
      </c>
      <c r="B68" s="10">
        <v>8</v>
      </c>
    </row>
    <row r="70" spans="1:3">
      <c r="A70" s="7" t="s">
        <v>299</v>
      </c>
    </row>
    <row r="71" spans="1:3">
      <c r="A71" s="8" t="s">
        <v>22</v>
      </c>
      <c r="B71" s="8" t="s">
        <v>300</v>
      </c>
      <c r="C71" s="8" t="s">
        <v>301</v>
      </c>
    </row>
    <row r="72" spans="1:3">
      <c r="A72" s="9" t="s">
        <v>100</v>
      </c>
      <c r="B72" s="10">
        <v>35</v>
      </c>
      <c r="C72" s="12">
        <v>14.64085714285714</v>
      </c>
    </row>
    <row r="73" spans="1:3">
      <c r="A73" s="9" t="s">
        <v>29</v>
      </c>
      <c r="B73" s="10">
        <v>4</v>
      </c>
      <c r="C73" s="12">
        <v>4.63</v>
      </c>
    </row>
    <row r="74" spans="1:3">
      <c r="A74" s="9" t="s">
        <v>43</v>
      </c>
      <c r="B74" s="10">
        <v>1</v>
      </c>
      <c r="C74" s="12">
        <v>4.98</v>
      </c>
    </row>
    <row r="76" spans="1:3">
      <c r="A76" s="7" t="s">
        <v>302</v>
      </c>
    </row>
    <row r="77" spans="1:3">
      <c r="A77" s="8" t="s">
        <v>18</v>
      </c>
      <c r="B77" s="8" t="s">
        <v>284</v>
      </c>
    </row>
    <row r="78" spans="1:3">
      <c r="A78" s="9" t="s">
        <v>38</v>
      </c>
      <c r="B78" s="10">
        <v>55</v>
      </c>
    </row>
    <row r="79" spans="1:3">
      <c r="A79" s="9" t="s">
        <v>79</v>
      </c>
      <c r="B79" s="10">
        <v>7</v>
      </c>
    </row>
    <row r="81" spans="1:5">
      <c r="A81" s="7" t="s">
        <v>303</v>
      </c>
    </row>
    <row r="82" spans="1:5">
      <c r="A82" s="8" t="s">
        <v>0</v>
      </c>
      <c r="B82" s="8" t="s">
        <v>304</v>
      </c>
      <c r="C82" s="8" t="s">
        <v>9</v>
      </c>
      <c r="D82" s="8" t="s">
        <v>13</v>
      </c>
      <c r="E82" s="8" t="s">
        <v>15</v>
      </c>
    </row>
    <row r="83" spans="1:5">
      <c r="A83" s="9">
        <v>6646</v>
      </c>
      <c r="B83" s="9" t="s">
        <v>262</v>
      </c>
      <c r="C83" s="9" t="s">
        <v>31</v>
      </c>
      <c r="D83" s="9" t="s">
        <v>35</v>
      </c>
      <c r="E83" s="12">
        <v>3.87</v>
      </c>
    </row>
    <row r="84" spans="1:5">
      <c r="A84" s="9">
        <v>6651</v>
      </c>
      <c r="B84" s="9" t="s">
        <v>246</v>
      </c>
      <c r="C84" s="9" t="s">
        <v>31</v>
      </c>
      <c r="D84" s="9" t="s">
        <v>46</v>
      </c>
      <c r="E84" s="12">
        <v>3.6</v>
      </c>
    </row>
    <row r="85" spans="1:5">
      <c r="A85" s="9">
        <v>6652</v>
      </c>
      <c r="B85" s="9" t="s">
        <v>241</v>
      </c>
      <c r="C85" s="9" t="s">
        <v>152</v>
      </c>
      <c r="D85" s="9" t="s">
        <v>46</v>
      </c>
      <c r="E85" s="12">
        <v>3.58</v>
      </c>
    </row>
    <row r="86" spans="1:5">
      <c r="A86" s="9">
        <v>6677</v>
      </c>
      <c r="B86" s="9" t="s">
        <v>166</v>
      </c>
      <c r="C86" s="9" t="s">
        <v>164</v>
      </c>
      <c r="D86" s="9" t="s">
        <v>73</v>
      </c>
      <c r="E86" s="12">
        <v>2.39</v>
      </c>
    </row>
    <row r="87" spans="1:5">
      <c r="A87" s="9">
        <v>6680</v>
      </c>
      <c r="B87" s="9" t="s">
        <v>149</v>
      </c>
      <c r="C87" s="9" t="s">
        <v>31</v>
      </c>
      <c r="D87" s="9" t="s">
        <v>46</v>
      </c>
      <c r="E87" s="12">
        <v>2.3</v>
      </c>
    </row>
    <row r="88" spans="1:5">
      <c r="A88" s="9">
        <v>6683</v>
      </c>
      <c r="B88" s="9" t="s">
        <v>138</v>
      </c>
      <c r="C88" s="9" t="s">
        <v>31</v>
      </c>
      <c r="D88" s="9" t="s">
        <v>46</v>
      </c>
      <c r="E88" s="12">
        <v>2.01</v>
      </c>
    </row>
    <row r="89" spans="1:5">
      <c r="A89" s="9">
        <v>6685</v>
      </c>
      <c r="B89" s="9" t="s">
        <v>133</v>
      </c>
      <c r="C89" s="9" t="s">
        <v>31</v>
      </c>
      <c r="D89" s="9" t="s">
        <v>35</v>
      </c>
      <c r="E89" s="12">
        <v>1.6</v>
      </c>
    </row>
    <row r="90" spans="1:5">
      <c r="A90" s="9">
        <v>6686</v>
      </c>
      <c r="B90" s="9" t="s">
        <v>129</v>
      </c>
      <c r="C90" s="9" t="s">
        <v>31</v>
      </c>
      <c r="D90" s="9" t="s">
        <v>122</v>
      </c>
      <c r="E90" s="12">
        <v>1.56</v>
      </c>
    </row>
    <row r="91" spans="1:5">
      <c r="A91" s="9">
        <v>6691</v>
      </c>
      <c r="B91" s="9" t="s">
        <v>109</v>
      </c>
      <c r="C91" s="9" t="s">
        <v>31</v>
      </c>
      <c r="D91" s="9" t="s">
        <v>46</v>
      </c>
      <c r="E91" s="12">
        <v>1.48</v>
      </c>
    </row>
    <row r="92" spans="1:5">
      <c r="A92" s="9">
        <v>6692</v>
      </c>
      <c r="B92" s="9" t="s">
        <v>105</v>
      </c>
      <c r="C92" s="9" t="s">
        <v>31</v>
      </c>
      <c r="D92" s="9" t="s">
        <v>35</v>
      </c>
      <c r="E92" s="12">
        <v>1.45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FACC15"/>
  </sheetPr>
  <dimension ref="A1:Q80"/>
  <sheetViews>
    <sheetView showGridLines="0" tabSelected="1" zoomScale="90" zoomScaleNormal="90" workbookViewId="0"/>
  </sheetViews>
  <sheetFormatPr defaultRowHeight="15"/>
  <cols>
    <col min="1" max="1" width="2.7109375" customWidth="1"/>
    <col min="2" max="15" width="13.7109375" customWidth="1"/>
    <col min="16" max="16" width="2.7109375" customWidth="1"/>
  </cols>
  <sheetData>
    <row r="1" spans="1:17" s="13" customFormat="1">
      <c r="A1" s="13"/>
      <c r="B1" s="13"/>
      <c r="C1" s="13"/>
      <c r="D1" s="13"/>
      <c r="E1" s="13"/>
      <c r="F1" s="13"/>
      <c r="G1" s="13"/>
      <c r="H1" s="13"/>
      <c r="I1" s="13"/>
      <c r="J1" s="13"/>
      <c r="K1" s="13"/>
      <c r="L1" s="13"/>
      <c r="M1" s="13"/>
      <c r="N1" s="13"/>
      <c r="O1" s="13"/>
      <c r="P1" s="13"/>
      <c r="Q1" s="13"/>
    </row>
    <row r="2" spans="1:17" ht="38" customHeight="1">
      <c r="A2" s="13"/>
      <c r="B2" s="14" t="s">
        <v>305</v>
      </c>
      <c r="C2" s="14"/>
      <c r="D2" s="14"/>
      <c r="E2" s="14"/>
      <c r="F2" s="14"/>
      <c r="G2" s="14"/>
      <c r="H2" s="14"/>
      <c r="I2" s="14"/>
      <c r="J2" s="14"/>
      <c r="K2" s="14"/>
      <c r="L2" s="14"/>
      <c r="M2" s="14"/>
      <c r="N2" s="14"/>
      <c r="O2" s="14"/>
      <c r="P2" s="13"/>
      <c r="Q2" s="13"/>
    </row>
    <row r="3" spans="1:17" ht="18" customHeight="1">
      <c r="A3" s="13"/>
      <c r="B3" s="15" t="s">
        <v>306</v>
      </c>
      <c r="C3" s="15"/>
      <c r="D3" s="15"/>
      <c r="E3" s="15"/>
      <c r="F3" s="15"/>
      <c r="G3" s="15"/>
      <c r="H3" s="15"/>
      <c r="I3" s="15"/>
      <c r="J3" s="15"/>
      <c r="K3" s="15"/>
      <c r="L3" s="15"/>
      <c r="M3" s="15"/>
      <c r="N3" s="15"/>
      <c r="O3" s="15"/>
      <c r="P3" s="13"/>
      <c r="Q3" s="13"/>
    </row>
    <row r="4" spans="1:17" s="13" customFormat="1">
      <c r="A4" s="13"/>
      <c r="B4" s="13"/>
      <c r="C4" s="13"/>
      <c r="D4" s="13"/>
      <c r="E4" s="13"/>
      <c r="F4" s="13"/>
      <c r="G4" s="13"/>
      <c r="H4" s="13"/>
      <c r="I4" s="13"/>
      <c r="J4" s="13"/>
      <c r="K4" s="13"/>
      <c r="L4" s="13"/>
      <c r="M4" s="13"/>
      <c r="N4" s="13"/>
      <c r="O4" s="13"/>
      <c r="P4" s="13"/>
      <c r="Q4" s="13"/>
    </row>
    <row r="5" spans="1:17" ht="6" customHeight="1">
      <c r="A5" s="13"/>
      <c r="B5" s="13"/>
      <c r="C5" s="13"/>
      <c r="D5" s="13"/>
      <c r="E5" s="13"/>
      <c r="F5" s="13"/>
      <c r="G5" s="13"/>
      <c r="H5" s="13"/>
      <c r="I5" s="13"/>
      <c r="J5" s="13"/>
      <c r="K5" s="13"/>
      <c r="L5" s="13"/>
      <c r="M5" s="13"/>
      <c r="N5" s="13"/>
      <c r="O5" s="13"/>
      <c r="P5" s="13"/>
      <c r="Q5" s="13"/>
    </row>
    <row r="6" spans="1:17" ht="18" customHeight="1">
      <c r="A6" s="13"/>
      <c r="B6" s="16" t="s">
        <v>307</v>
      </c>
      <c r="C6" s="16"/>
      <c r="D6" s="16"/>
      <c r="E6" s="17" t="s">
        <v>309</v>
      </c>
      <c r="F6" s="17"/>
      <c r="G6" s="17"/>
      <c r="H6" s="18" t="s">
        <v>311</v>
      </c>
      <c r="I6" s="18"/>
      <c r="J6" s="18"/>
      <c r="K6" s="19" t="s">
        <v>313</v>
      </c>
      <c r="L6" s="19"/>
      <c r="M6" s="19"/>
      <c r="N6" s="20" t="s">
        <v>315</v>
      </c>
      <c r="O6" s="20"/>
      <c r="P6" s="20"/>
      <c r="Q6" s="13"/>
    </row>
    <row r="7" spans="1:17" ht="30" customHeight="1">
      <c r="A7" s="13"/>
      <c r="B7" s="21">
        <f>Pivot_Calculations!B3</f>
        <v>0</v>
      </c>
      <c r="C7" s="21"/>
      <c r="D7" s="21"/>
      <c r="E7" s="22">
        <f>Pivot_Calculations!B4</f>
        <v>0</v>
      </c>
      <c r="F7" s="22"/>
      <c r="G7" s="22"/>
      <c r="H7" s="23">
        <f>Pivot_Calculations!B5</f>
        <v>0</v>
      </c>
      <c r="I7" s="23"/>
      <c r="J7" s="23"/>
      <c r="K7" s="24">
        <f>Pivot_Calculations!B6</f>
        <v>0</v>
      </c>
      <c r="L7" s="24"/>
      <c r="M7" s="24"/>
      <c r="N7" s="25">
        <f>Pivot_Calculations!B9</f>
        <v>0</v>
      </c>
      <c r="O7" s="25"/>
      <c r="P7" s="25"/>
      <c r="Q7" s="13"/>
    </row>
    <row r="8" spans="1:17" ht="16" customHeight="1">
      <c r="A8" s="13"/>
      <c r="B8" s="26" t="s">
        <v>308</v>
      </c>
      <c r="C8" s="26"/>
      <c r="D8" s="26"/>
      <c r="E8" s="27" t="s">
        <v>310</v>
      </c>
      <c r="F8" s="27"/>
      <c r="G8" s="27"/>
      <c r="H8" s="28" t="s">
        <v>312</v>
      </c>
      <c r="I8" s="28"/>
      <c r="J8" s="28"/>
      <c r="K8" s="29" t="s">
        <v>314</v>
      </c>
      <c r="L8" s="29"/>
      <c r="M8" s="29"/>
      <c r="N8" s="30" t="s">
        <v>316</v>
      </c>
      <c r="O8" s="30"/>
      <c r="P8" s="30"/>
      <c r="Q8" s="13"/>
    </row>
    <row r="9" spans="1:17" ht="6" customHeight="1">
      <c r="A9" s="13"/>
      <c r="B9" s="13"/>
      <c r="C9" s="13"/>
      <c r="D9" s="13"/>
      <c r="E9" s="13"/>
      <c r="F9" s="13"/>
      <c r="G9" s="13"/>
      <c r="H9" s="13"/>
      <c r="I9" s="13"/>
      <c r="J9" s="13"/>
      <c r="K9" s="13"/>
      <c r="L9" s="13"/>
      <c r="M9" s="13"/>
      <c r="N9" s="13"/>
      <c r="O9" s="13"/>
      <c r="P9" s="13"/>
      <c r="Q9" s="13"/>
    </row>
    <row r="10" spans="1:17" ht="18" customHeight="1">
      <c r="A10" s="13"/>
      <c r="B10" s="16" t="s">
        <v>317</v>
      </c>
      <c r="C10" s="16"/>
      <c r="D10" s="16"/>
      <c r="E10" s="18" t="s">
        <v>319</v>
      </c>
      <c r="F10" s="18"/>
      <c r="G10" s="18"/>
      <c r="H10" s="17" t="s">
        <v>321</v>
      </c>
      <c r="I10" s="17"/>
      <c r="J10" s="17"/>
      <c r="K10" s="16" t="s">
        <v>323</v>
      </c>
      <c r="L10" s="16"/>
      <c r="M10" s="16"/>
      <c r="N10" s="20" t="s">
        <v>325</v>
      </c>
      <c r="O10" s="20"/>
      <c r="P10" s="20"/>
      <c r="Q10" s="13"/>
    </row>
    <row r="11" spans="1:17" ht="30" customHeight="1">
      <c r="A11" s="13"/>
      <c r="B11" s="31">
        <f>Pivot_Calculations!B10</f>
        <v>0</v>
      </c>
      <c r="C11" s="31"/>
      <c r="D11" s="31"/>
      <c r="E11" s="32">
        <f>Pivot_Calculations!B11</f>
        <v>0</v>
      </c>
      <c r="F11" s="32"/>
      <c r="G11" s="32"/>
      <c r="H11" s="22">
        <f>Pivot_Calculations!B12</f>
        <v>0</v>
      </c>
      <c r="I11" s="22"/>
      <c r="J11" s="22"/>
      <c r="K11" s="21">
        <f>Pivot_Calculations!B13</f>
        <v>0</v>
      </c>
      <c r="L11" s="21"/>
      <c r="M11" s="21"/>
      <c r="N11" s="33">
        <f>Pivot_Calculations!B14</f>
        <v>0</v>
      </c>
      <c r="O11" s="33"/>
      <c r="P11" s="33"/>
      <c r="Q11" s="13"/>
    </row>
    <row r="12" spans="1:17" ht="16" customHeight="1">
      <c r="A12" s="13"/>
      <c r="B12" s="26" t="s">
        <v>318</v>
      </c>
      <c r="C12" s="26"/>
      <c r="D12" s="26"/>
      <c r="E12" s="28" t="s">
        <v>320</v>
      </c>
      <c r="F12" s="28"/>
      <c r="G12" s="28"/>
      <c r="H12" s="27" t="s">
        <v>322</v>
      </c>
      <c r="I12" s="27"/>
      <c r="J12" s="27"/>
      <c r="K12" s="26" t="s">
        <v>324</v>
      </c>
      <c r="L12" s="26"/>
      <c r="M12" s="26"/>
      <c r="N12" s="30" t="s">
        <v>326</v>
      </c>
      <c r="O12" s="30"/>
      <c r="P12" s="30"/>
      <c r="Q12" s="13"/>
    </row>
    <row r="13" spans="1:17" ht="6" customHeight="1">
      <c r="A13" s="13"/>
      <c r="B13" s="13"/>
      <c r="C13" s="13"/>
      <c r="D13" s="13"/>
      <c r="E13" s="13"/>
      <c r="F13" s="13"/>
      <c r="G13" s="13"/>
      <c r="H13" s="13"/>
      <c r="I13" s="13"/>
      <c r="J13" s="13"/>
      <c r="K13" s="13"/>
      <c r="L13" s="13"/>
      <c r="M13" s="13"/>
      <c r="N13" s="13"/>
      <c r="O13" s="13"/>
      <c r="P13" s="13"/>
      <c r="Q13" s="13"/>
    </row>
    <row r="14" spans="1:17" ht="22" customHeight="1">
      <c r="A14" s="13"/>
      <c r="B14" s="34" t="s">
        <v>327</v>
      </c>
      <c r="C14" s="34"/>
      <c r="D14" s="34"/>
      <c r="E14" s="34"/>
      <c r="F14" s="34"/>
      <c r="G14" s="34"/>
      <c r="H14" s="34"/>
      <c r="I14" s="34"/>
      <c r="J14" s="34"/>
      <c r="K14" s="34"/>
      <c r="L14" s="34"/>
      <c r="M14" s="34"/>
      <c r="N14" s="34"/>
      <c r="O14" s="34"/>
      <c r="P14" s="13"/>
      <c r="Q14" s="13"/>
    </row>
    <row r="15" spans="1:17" s="13" customFormat="1">
      <c r="A15" s="13"/>
      <c r="B15" s="13"/>
      <c r="C15" s="13"/>
      <c r="D15" s="13"/>
      <c r="E15" s="13"/>
      <c r="F15" s="13"/>
      <c r="G15" s="13"/>
      <c r="H15" s="13"/>
      <c r="I15" s="13"/>
      <c r="J15" s="13"/>
      <c r="K15" s="13"/>
      <c r="L15" s="13"/>
      <c r="M15" s="13"/>
      <c r="N15" s="13"/>
      <c r="O15" s="13"/>
      <c r="P15" s="13"/>
      <c r="Q15" s="13"/>
    </row>
    <row r="16" spans="1:17" s="13" customFormat="1">
      <c r="A16" s="13"/>
      <c r="B16" s="13"/>
      <c r="C16" s="13"/>
      <c r="D16" s="13"/>
      <c r="E16" s="13"/>
      <c r="F16" s="13"/>
      <c r="G16" s="13"/>
      <c r="H16" s="13"/>
      <c r="I16" s="13"/>
      <c r="J16" s="13"/>
      <c r="K16" s="13"/>
      <c r="L16" s="13"/>
      <c r="M16" s="13"/>
      <c r="N16" s="13"/>
      <c r="O16" s="13"/>
      <c r="P16" s="13"/>
      <c r="Q16" s="13"/>
    </row>
    <row r="17" spans="1:17" s="13" customFormat="1">
      <c r="A17" s="13"/>
      <c r="B17" s="13"/>
      <c r="C17" s="13"/>
      <c r="D17" s="13"/>
      <c r="E17" s="13"/>
      <c r="F17" s="13"/>
      <c r="G17" s="13"/>
      <c r="H17" s="13"/>
      <c r="I17" s="13"/>
      <c r="J17" s="13"/>
      <c r="K17" s="13"/>
      <c r="L17" s="13"/>
      <c r="M17" s="13"/>
      <c r="N17" s="13"/>
      <c r="O17" s="13"/>
      <c r="P17" s="13"/>
      <c r="Q17" s="13"/>
    </row>
    <row r="18" spans="1:17" s="13" customFormat="1">
      <c r="A18" s="13"/>
      <c r="B18" s="13"/>
      <c r="C18" s="13"/>
      <c r="D18" s="13"/>
      <c r="E18" s="13"/>
      <c r="F18" s="13"/>
      <c r="G18" s="13"/>
      <c r="H18" s="13"/>
      <c r="I18" s="13"/>
      <c r="J18" s="13"/>
      <c r="K18" s="13"/>
      <c r="L18" s="13"/>
      <c r="M18" s="13"/>
      <c r="N18" s="13"/>
      <c r="O18" s="13"/>
      <c r="P18" s="13"/>
      <c r="Q18" s="13"/>
    </row>
    <row r="19" spans="1:17" s="13" customFormat="1">
      <c r="A19" s="13"/>
      <c r="B19" s="13"/>
      <c r="C19" s="13"/>
      <c r="D19" s="13"/>
      <c r="E19" s="13"/>
      <c r="F19" s="13"/>
      <c r="G19" s="13"/>
      <c r="H19" s="13"/>
      <c r="I19" s="13"/>
      <c r="J19" s="13"/>
      <c r="K19" s="13"/>
      <c r="L19" s="13"/>
      <c r="M19" s="13"/>
      <c r="N19" s="13"/>
      <c r="O19" s="13"/>
      <c r="P19" s="13"/>
      <c r="Q19" s="13"/>
    </row>
    <row r="20" spans="1:17" s="13" customFormat="1">
      <c r="A20" s="13"/>
      <c r="B20" s="13"/>
      <c r="C20" s="13"/>
      <c r="D20" s="13"/>
      <c r="E20" s="13"/>
      <c r="F20" s="13"/>
      <c r="G20" s="13"/>
      <c r="H20" s="13"/>
      <c r="I20" s="13"/>
      <c r="J20" s="13"/>
      <c r="K20" s="13"/>
      <c r="L20" s="13"/>
      <c r="M20" s="13"/>
      <c r="N20" s="13"/>
      <c r="O20" s="13"/>
      <c r="P20" s="13"/>
      <c r="Q20" s="13"/>
    </row>
    <row r="21" spans="1:17" s="13" customFormat="1">
      <c r="A21" s="13"/>
      <c r="B21" s="13"/>
      <c r="C21" s="13"/>
      <c r="D21" s="13"/>
      <c r="E21" s="13"/>
      <c r="F21" s="13"/>
      <c r="G21" s="13"/>
      <c r="H21" s="13"/>
      <c r="I21" s="13"/>
      <c r="J21" s="13"/>
      <c r="K21" s="13"/>
      <c r="L21" s="13"/>
      <c r="M21" s="13"/>
      <c r="N21" s="13"/>
      <c r="O21" s="13"/>
      <c r="P21" s="13"/>
      <c r="Q21" s="13"/>
    </row>
    <row r="22" spans="1:17" s="13" customFormat="1">
      <c r="A22" s="13"/>
      <c r="B22" s="13"/>
      <c r="C22" s="13"/>
      <c r="D22" s="13"/>
      <c r="E22" s="13"/>
      <c r="F22" s="13"/>
      <c r="G22" s="13"/>
      <c r="H22" s="13"/>
      <c r="I22" s="13"/>
      <c r="J22" s="13"/>
      <c r="K22" s="13"/>
      <c r="L22" s="13"/>
      <c r="M22" s="13"/>
      <c r="N22" s="13"/>
      <c r="O22" s="13"/>
      <c r="P22" s="13"/>
      <c r="Q22" s="13"/>
    </row>
    <row r="23" spans="1:17" s="13" customFormat="1">
      <c r="A23" s="13"/>
      <c r="B23" s="13"/>
      <c r="C23" s="13"/>
      <c r="D23" s="13"/>
      <c r="E23" s="13"/>
      <c r="F23" s="13"/>
      <c r="G23" s="13"/>
      <c r="H23" s="13"/>
      <c r="I23" s="13"/>
      <c r="J23" s="13"/>
      <c r="K23" s="13"/>
      <c r="L23" s="13"/>
      <c r="M23" s="13"/>
      <c r="N23" s="13"/>
      <c r="O23" s="13"/>
      <c r="P23" s="13"/>
      <c r="Q23" s="13"/>
    </row>
    <row r="24" spans="1:17" s="13" customFormat="1">
      <c r="A24" s="13"/>
      <c r="B24" s="13"/>
      <c r="C24" s="13"/>
      <c r="D24" s="13"/>
      <c r="E24" s="13"/>
      <c r="F24" s="13"/>
      <c r="G24" s="13"/>
      <c r="H24" s="13"/>
      <c r="I24" s="13"/>
      <c r="J24" s="13"/>
      <c r="K24" s="13"/>
      <c r="L24" s="13"/>
      <c r="M24" s="13"/>
      <c r="N24" s="13"/>
      <c r="O24" s="13"/>
      <c r="P24" s="13"/>
      <c r="Q24" s="13"/>
    </row>
    <row r="25" spans="1:17" s="13" customFormat="1">
      <c r="A25" s="13"/>
      <c r="B25" s="13"/>
      <c r="C25" s="13"/>
      <c r="D25" s="13"/>
      <c r="E25" s="13"/>
      <c r="F25" s="13"/>
      <c r="G25" s="13"/>
      <c r="H25" s="13"/>
      <c r="I25" s="13"/>
      <c r="J25" s="13"/>
      <c r="K25" s="13"/>
      <c r="L25" s="13"/>
      <c r="M25" s="13"/>
      <c r="N25" s="13"/>
      <c r="O25" s="13"/>
      <c r="P25" s="13"/>
      <c r="Q25" s="13"/>
    </row>
    <row r="26" spans="1:17" s="13" customFormat="1">
      <c r="A26" s="13"/>
      <c r="B26" s="13"/>
      <c r="C26" s="13"/>
      <c r="D26" s="13"/>
      <c r="E26" s="13"/>
      <c r="F26" s="13"/>
      <c r="G26" s="13"/>
      <c r="H26" s="13"/>
      <c r="I26" s="13"/>
      <c r="J26" s="13"/>
      <c r="K26" s="13"/>
      <c r="L26" s="13"/>
      <c r="M26" s="13"/>
      <c r="N26" s="13"/>
      <c r="O26" s="13"/>
      <c r="P26" s="13"/>
      <c r="Q26" s="13"/>
    </row>
    <row r="27" spans="1:17" s="13" customFormat="1">
      <c r="A27" s="13"/>
      <c r="B27" s="13"/>
      <c r="C27" s="13"/>
      <c r="D27" s="13"/>
      <c r="E27" s="13"/>
      <c r="F27" s="13"/>
      <c r="G27" s="13"/>
      <c r="H27" s="13"/>
      <c r="I27" s="13"/>
      <c r="J27" s="13"/>
      <c r="K27" s="13"/>
      <c r="L27" s="13"/>
      <c r="M27" s="13"/>
      <c r="N27" s="13"/>
      <c r="O27" s="13"/>
      <c r="P27" s="13"/>
      <c r="Q27" s="13"/>
    </row>
    <row r="28" spans="1:17" s="13" customFormat="1">
      <c r="A28" s="13"/>
      <c r="B28" s="13"/>
      <c r="C28" s="13"/>
      <c r="D28" s="13"/>
      <c r="E28" s="13"/>
      <c r="F28" s="13"/>
      <c r="G28" s="13"/>
      <c r="H28" s="13"/>
      <c r="I28" s="13"/>
      <c r="J28" s="13"/>
      <c r="K28" s="13"/>
      <c r="L28" s="13"/>
      <c r="M28" s="13"/>
      <c r="N28" s="13"/>
      <c r="O28" s="13"/>
      <c r="P28" s="13"/>
      <c r="Q28" s="13"/>
    </row>
    <row r="29" spans="1:17" s="13" customFormat="1">
      <c r="A29" s="13"/>
      <c r="B29" s="13"/>
      <c r="C29" s="13"/>
      <c r="D29" s="13"/>
      <c r="E29" s="13"/>
      <c r="F29" s="13"/>
      <c r="G29" s="13"/>
      <c r="H29" s="13"/>
      <c r="I29" s="13"/>
      <c r="J29" s="13"/>
      <c r="K29" s="13"/>
      <c r="L29" s="13"/>
      <c r="M29" s="13"/>
      <c r="N29" s="13"/>
      <c r="O29" s="13"/>
      <c r="P29" s="13"/>
      <c r="Q29" s="13"/>
    </row>
    <row r="30" spans="1:17" s="13" customFormat="1">
      <c r="A30" s="13"/>
      <c r="B30" s="13"/>
      <c r="C30" s="13"/>
      <c r="D30" s="13"/>
      <c r="E30" s="13"/>
      <c r="F30" s="13"/>
      <c r="G30" s="13"/>
      <c r="H30" s="13"/>
      <c r="I30" s="13"/>
      <c r="J30" s="13"/>
      <c r="K30" s="13"/>
      <c r="L30" s="13"/>
      <c r="M30" s="13"/>
      <c r="N30" s="13"/>
      <c r="O30" s="13"/>
      <c r="P30" s="13"/>
      <c r="Q30" s="13"/>
    </row>
    <row r="31" spans="1:17" s="13" customFormat="1">
      <c r="A31" s="13"/>
      <c r="B31" s="13"/>
      <c r="C31" s="13"/>
      <c r="D31" s="13"/>
      <c r="E31" s="13"/>
      <c r="F31" s="13"/>
      <c r="G31" s="13"/>
      <c r="H31" s="13"/>
      <c r="I31" s="13"/>
      <c r="J31" s="13"/>
      <c r="K31" s="13"/>
      <c r="L31" s="13"/>
      <c r="M31" s="13"/>
      <c r="N31" s="13"/>
      <c r="O31" s="13"/>
      <c r="P31" s="13"/>
      <c r="Q31" s="13"/>
    </row>
    <row r="32" spans="1:17" s="13" customFormat="1">
      <c r="A32" s="13"/>
      <c r="B32" s="13"/>
      <c r="C32" s="13"/>
      <c r="D32" s="13"/>
      <c r="E32" s="13"/>
      <c r="F32" s="13"/>
      <c r="G32" s="13"/>
      <c r="H32" s="13"/>
      <c r="I32" s="13"/>
      <c r="J32" s="13"/>
      <c r="K32" s="13"/>
      <c r="L32" s="13"/>
      <c r="M32" s="13"/>
      <c r="N32" s="13"/>
      <c r="O32" s="13"/>
      <c r="P32" s="13"/>
      <c r="Q32" s="13"/>
    </row>
    <row r="33" spans="1:17" s="13" customFormat="1">
      <c r="A33" s="13"/>
      <c r="B33" s="13"/>
      <c r="C33" s="13"/>
      <c r="D33" s="13"/>
      <c r="E33" s="13"/>
      <c r="F33" s="13"/>
      <c r="G33" s="13"/>
      <c r="H33" s="13"/>
      <c r="I33" s="13"/>
      <c r="J33" s="13"/>
      <c r="K33" s="13"/>
      <c r="L33" s="13"/>
      <c r="M33" s="13"/>
      <c r="N33" s="13"/>
      <c r="O33" s="13"/>
      <c r="P33" s="13"/>
      <c r="Q33" s="13"/>
    </row>
    <row r="34" spans="1:17" s="13" customFormat="1">
      <c r="A34" s="13"/>
      <c r="B34" s="13"/>
      <c r="C34" s="13"/>
      <c r="D34" s="13"/>
      <c r="E34" s="13"/>
      <c r="F34" s="13"/>
      <c r="G34" s="13"/>
      <c r="H34" s="13"/>
      <c r="I34" s="13"/>
      <c r="J34" s="13"/>
      <c r="K34" s="13"/>
      <c r="L34" s="13"/>
      <c r="M34" s="13"/>
      <c r="N34" s="13"/>
      <c r="O34" s="13"/>
      <c r="P34" s="13"/>
      <c r="Q34" s="13"/>
    </row>
    <row r="35" spans="1:17" s="13" customFormat="1">
      <c r="A35" s="13"/>
      <c r="B35" s="13"/>
      <c r="C35" s="13"/>
      <c r="D35" s="13"/>
      <c r="E35" s="13"/>
      <c r="F35" s="13"/>
      <c r="G35" s="13"/>
      <c r="H35" s="13"/>
      <c r="I35" s="13"/>
      <c r="J35" s="13"/>
      <c r="K35" s="13"/>
      <c r="L35" s="13"/>
      <c r="M35" s="13"/>
      <c r="N35" s="13"/>
      <c r="O35" s="13"/>
      <c r="P35" s="13"/>
      <c r="Q35" s="13"/>
    </row>
    <row r="36" spans="1:17" s="13" customFormat="1">
      <c r="A36" s="13"/>
      <c r="B36" s="13"/>
      <c r="C36" s="13"/>
      <c r="D36" s="13"/>
      <c r="E36" s="13"/>
      <c r="F36" s="13"/>
      <c r="G36" s="13"/>
      <c r="H36" s="13"/>
      <c r="I36" s="13"/>
      <c r="J36" s="13"/>
      <c r="K36" s="13"/>
      <c r="L36" s="13"/>
      <c r="M36" s="13"/>
      <c r="N36" s="13"/>
      <c r="O36" s="13"/>
      <c r="P36" s="13"/>
      <c r="Q36" s="13"/>
    </row>
    <row r="37" spans="1:17" s="13" customFormat="1">
      <c r="A37" s="13"/>
      <c r="B37" s="13"/>
      <c r="C37" s="13"/>
      <c r="D37" s="13"/>
      <c r="E37" s="13"/>
      <c r="F37" s="13"/>
      <c r="G37" s="13"/>
      <c r="H37" s="13"/>
      <c r="I37" s="13"/>
      <c r="J37" s="13"/>
      <c r="K37" s="13"/>
      <c r="L37" s="13"/>
      <c r="M37" s="13"/>
      <c r="N37" s="13"/>
      <c r="O37" s="13"/>
      <c r="P37" s="13"/>
      <c r="Q37" s="13"/>
    </row>
    <row r="38" spans="1:17" s="13" customFormat="1">
      <c r="A38" s="13"/>
      <c r="B38" s="13"/>
      <c r="C38" s="13"/>
      <c r="D38" s="13"/>
      <c r="E38" s="13"/>
      <c r="F38" s="13"/>
      <c r="G38" s="13"/>
      <c r="H38" s="13"/>
      <c r="I38" s="13"/>
      <c r="J38" s="13"/>
      <c r="K38" s="13"/>
      <c r="L38" s="13"/>
      <c r="M38" s="13"/>
      <c r="N38" s="13"/>
      <c r="O38" s="13"/>
      <c r="P38" s="13"/>
      <c r="Q38" s="13"/>
    </row>
    <row r="39" spans="1:17" s="13" customFormat="1">
      <c r="A39" s="13"/>
      <c r="B39" s="13"/>
      <c r="C39" s="13"/>
      <c r="D39" s="13"/>
      <c r="E39" s="13"/>
      <c r="F39" s="13"/>
      <c r="G39" s="13"/>
      <c r="H39" s="13"/>
      <c r="I39" s="13"/>
      <c r="J39" s="13"/>
      <c r="K39" s="13"/>
      <c r="L39" s="13"/>
      <c r="M39" s="13"/>
      <c r="N39" s="13"/>
      <c r="O39" s="13"/>
      <c r="P39" s="13"/>
      <c r="Q39" s="13"/>
    </row>
    <row r="40" spans="1:17" s="13" customFormat="1">
      <c r="A40" s="13"/>
      <c r="B40" s="13"/>
      <c r="C40" s="13"/>
      <c r="D40" s="13"/>
      <c r="E40" s="13"/>
      <c r="F40" s="13"/>
      <c r="G40" s="13"/>
      <c r="H40" s="13"/>
      <c r="I40" s="13"/>
      <c r="J40" s="13"/>
      <c r="K40" s="13"/>
      <c r="L40" s="13"/>
      <c r="M40" s="13"/>
      <c r="N40" s="13"/>
      <c r="O40" s="13"/>
      <c r="P40" s="13"/>
      <c r="Q40" s="13"/>
    </row>
    <row r="41" spans="1:17" s="13" customFormat="1">
      <c r="A41" s="13"/>
      <c r="B41" s="13"/>
      <c r="C41" s="13"/>
      <c r="D41" s="13"/>
      <c r="E41" s="13"/>
      <c r="F41" s="13"/>
      <c r="G41" s="13"/>
      <c r="H41" s="13"/>
      <c r="I41" s="13"/>
      <c r="J41" s="13"/>
      <c r="K41" s="13"/>
      <c r="L41" s="13"/>
      <c r="M41" s="13"/>
      <c r="N41" s="13"/>
      <c r="O41" s="13"/>
      <c r="P41" s="13"/>
      <c r="Q41" s="13"/>
    </row>
    <row r="42" spans="1:17" s="13" customFormat="1">
      <c r="A42" s="13"/>
      <c r="B42" s="13"/>
      <c r="C42" s="13"/>
      <c r="D42" s="13"/>
      <c r="E42" s="13"/>
      <c r="F42" s="13"/>
      <c r="G42" s="13"/>
      <c r="H42" s="13"/>
      <c r="I42" s="13"/>
      <c r="J42" s="13"/>
      <c r="K42" s="13"/>
      <c r="L42" s="13"/>
      <c r="M42" s="13"/>
      <c r="N42" s="13"/>
      <c r="O42" s="13"/>
      <c r="P42" s="13"/>
      <c r="Q42" s="13"/>
    </row>
    <row r="43" spans="1:17" s="13" customFormat="1">
      <c r="A43" s="13"/>
      <c r="B43" s="13"/>
      <c r="C43" s="13"/>
      <c r="D43" s="13"/>
      <c r="E43" s="13"/>
      <c r="F43" s="13"/>
      <c r="G43" s="13"/>
      <c r="H43" s="13"/>
      <c r="I43" s="13"/>
      <c r="J43" s="13"/>
      <c r="K43" s="13"/>
      <c r="L43" s="13"/>
      <c r="M43" s="13"/>
      <c r="N43" s="13"/>
      <c r="O43" s="13"/>
      <c r="P43" s="13"/>
      <c r="Q43" s="13"/>
    </row>
    <row r="44" spans="1:17" s="13" customFormat="1">
      <c r="A44" s="13"/>
      <c r="B44" s="13"/>
      <c r="C44" s="13"/>
      <c r="D44" s="13"/>
      <c r="E44" s="13"/>
      <c r="F44" s="13"/>
      <c r="G44" s="13"/>
      <c r="H44" s="13"/>
      <c r="I44" s="13"/>
      <c r="J44" s="13"/>
      <c r="K44" s="13"/>
      <c r="L44" s="13"/>
      <c r="M44" s="13"/>
      <c r="N44" s="13"/>
      <c r="O44" s="13"/>
      <c r="P44" s="13"/>
      <c r="Q44" s="13"/>
    </row>
    <row r="45" spans="1:17" s="13" customFormat="1">
      <c r="A45" s="13"/>
      <c r="B45" s="13"/>
      <c r="C45" s="13"/>
      <c r="D45" s="13"/>
      <c r="E45" s="13"/>
      <c r="F45" s="13"/>
      <c r="G45" s="13"/>
      <c r="H45" s="13"/>
      <c r="I45" s="13"/>
      <c r="J45" s="13"/>
      <c r="K45" s="13"/>
      <c r="L45" s="13"/>
      <c r="M45" s="13"/>
      <c r="N45" s="13"/>
      <c r="O45" s="13"/>
      <c r="P45" s="13"/>
      <c r="Q45" s="13"/>
    </row>
    <row r="46" spans="1:17" s="13" customFormat="1">
      <c r="A46" s="13"/>
      <c r="B46" s="13"/>
      <c r="C46" s="13"/>
      <c r="D46" s="13"/>
      <c r="E46" s="13"/>
      <c r="F46" s="13"/>
      <c r="G46" s="13"/>
      <c r="H46" s="13"/>
      <c r="I46" s="13"/>
      <c r="J46" s="13"/>
      <c r="K46" s="13"/>
      <c r="L46" s="13"/>
      <c r="M46" s="13"/>
      <c r="N46" s="13"/>
      <c r="O46" s="13"/>
      <c r="P46" s="13"/>
      <c r="Q46" s="13"/>
    </row>
    <row r="47" spans="1:17" s="13" customFormat="1">
      <c r="A47" s="13"/>
      <c r="B47" s="13"/>
      <c r="C47" s="13"/>
      <c r="D47" s="13"/>
      <c r="E47" s="13"/>
      <c r="F47" s="13"/>
      <c r="G47" s="13"/>
      <c r="H47" s="13"/>
      <c r="I47" s="13"/>
      <c r="J47" s="13"/>
      <c r="K47" s="13"/>
      <c r="L47" s="13"/>
      <c r="M47" s="13"/>
      <c r="N47" s="13"/>
      <c r="O47" s="13"/>
      <c r="P47" s="13"/>
      <c r="Q47" s="13"/>
    </row>
    <row r="48" spans="1:17" s="13" customFormat="1">
      <c r="A48" s="13"/>
      <c r="B48" s="13"/>
      <c r="C48" s="13"/>
      <c r="D48" s="13"/>
      <c r="E48" s="13"/>
      <c r="F48" s="13"/>
      <c r="G48" s="13"/>
      <c r="H48" s="13"/>
      <c r="I48" s="13"/>
      <c r="J48" s="13"/>
      <c r="K48" s="13"/>
      <c r="L48" s="13"/>
      <c r="M48" s="13"/>
      <c r="N48" s="13"/>
      <c r="O48" s="13"/>
      <c r="P48" s="13"/>
      <c r="Q48" s="13"/>
    </row>
    <row r="49" spans="1:17" s="13" customFormat="1">
      <c r="A49" s="13"/>
      <c r="B49" s="13"/>
      <c r="C49" s="13"/>
      <c r="D49" s="13"/>
      <c r="E49" s="13"/>
      <c r="F49" s="13"/>
      <c r="G49" s="13"/>
      <c r="H49" s="13"/>
      <c r="I49" s="13"/>
      <c r="J49" s="13"/>
      <c r="K49" s="13"/>
      <c r="L49" s="13"/>
      <c r="M49" s="13"/>
      <c r="N49" s="13"/>
      <c r="O49" s="13"/>
      <c r="P49" s="13"/>
      <c r="Q49" s="13"/>
    </row>
    <row r="50" spans="1:17" s="13" customFormat="1">
      <c r="A50" s="13"/>
      <c r="B50" s="13"/>
      <c r="C50" s="13"/>
      <c r="D50" s="13"/>
      <c r="E50" s="13"/>
      <c r="F50" s="13"/>
      <c r="G50" s="13"/>
      <c r="H50" s="13"/>
      <c r="I50" s="13"/>
      <c r="J50" s="13"/>
      <c r="K50" s="13"/>
      <c r="L50" s="13"/>
      <c r="M50" s="13"/>
      <c r="N50" s="13"/>
      <c r="O50" s="13"/>
      <c r="P50" s="13"/>
      <c r="Q50" s="13"/>
    </row>
    <row r="51" spans="1:17" ht="6" customHeight="1">
      <c r="A51" s="13"/>
      <c r="B51" s="13"/>
      <c r="C51" s="13"/>
      <c r="D51" s="13"/>
      <c r="E51" s="13"/>
      <c r="F51" s="13"/>
      <c r="G51" s="13"/>
      <c r="H51" s="13"/>
      <c r="I51" s="13"/>
      <c r="J51" s="13"/>
      <c r="K51" s="13"/>
      <c r="L51" s="13"/>
      <c r="M51" s="13"/>
      <c r="N51" s="13"/>
      <c r="O51" s="13"/>
      <c r="P51" s="13"/>
      <c r="Q51" s="13"/>
    </row>
    <row r="52" spans="1:17" s="13" customFormat="1">
      <c r="A52" s="13"/>
      <c r="B52" s="35" t="s">
        <v>328</v>
      </c>
      <c r="C52" s="35"/>
      <c r="D52" s="35"/>
      <c r="E52" s="35"/>
      <c r="F52" s="35"/>
      <c r="G52" s="35"/>
      <c r="H52" s="35"/>
      <c r="I52" s="35"/>
      <c r="J52" s="35"/>
      <c r="K52" s="35"/>
      <c r="L52" s="35"/>
      <c r="M52" s="35"/>
      <c r="N52" s="35"/>
      <c r="O52" s="35"/>
      <c r="P52" s="13"/>
      <c r="Q52" s="13"/>
    </row>
    <row r="53" spans="1:17" s="13" customFormat="1">
      <c r="A53" s="13"/>
      <c r="B53" s="13"/>
      <c r="C53" s="13"/>
      <c r="D53" s="13"/>
      <c r="E53" s="13"/>
      <c r="F53" s="13"/>
      <c r="G53" s="13"/>
      <c r="H53" s="13"/>
      <c r="I53" s="13"/>
      <c r="J53" s="13"/>
      <c r="K53" s="13"/>
      <c r="L53" s="13"/>
      <c r="M53" s="13"/>
      <c r="N53" s="13"/>
      <c r="O53" s="13"/>
      <c r="P53" s="13"/>
      <c r="Q53" s="13"/>
    </row>
    <row r="54" spans="1:17" s="13" customFormat="1">
      <c r="A54" s="13"/>
      <c r="B54" s="13"/>
      <c r="C54" s="13"/>
      <c r="D54" s="13"/>
      <c r="E54" s="13"/>
      <c r="F54" s="13"/>
      <c r="G54" s="13"/>
      <c r="H54" s="13"/>
      <c r="I54" s="13"/>
      <c r="J54" s="13"/>
      <c r="K54" s="13"/>
      <c r="L54" s="13"/>
      <c r="M54" s="13"/>
      <c r="N54" s="13"/>
      <c r="O54" s="13"/>
      <c r="P54" s="13"/>
      <c r="Q54" s="13"/>
    </row>
    <row r="55" spans="1:17" s="13" customFormat="1">
      <c r="A55" s="13"/>
      <c r="B55" s="13"/>
      <c r="C55" s="13"/>
      <c r="D55" s="13"/>
      <c r="E55" s="13"/>
      <c r="F55" s="13"/>
      <c r="G55" s="13"/>
      <c r="H55" s="13"/>
      <c r="I55" s="13"/>
      <c r="J55" s="13"/>
      <c r="K55" s="13"/>
      <c r="L55" s="13"/>
      <c r="M55" s="13"/>
      <c r="N55" s="13"/>
      <c r="O55" s="13"/>
      <c r="P55" s="13"/>
      <c r="Q55" s="13"/>
    </row>
    <row r="56" spans="1:17" s="13" customFormat="1">
      <c r="A56" s="13"/>
      <c r="B56" s="13"/>
      <c r="C56" s="13"/>
      <c r="D56" s="13"/>
      <c r="E56" s="13"/>
      <c r="F56" s="13"/>
      <c r="G56" s="13"/>
      <c r="H56" s="13"/>
      <c r="I56" s="13"/>
      <c r="J56" s="13"/>
      <c r="K56" s="13"/>
      <c r="L56" s="13"/>
      <c r="M56" s="13"/>
      <c r="N56" s="13"/>
      <c r="O56" s="13"/>
      <c r="P56" s="13"/>
      <c r="Q56" s="13"/>
    </row>
    <row r="57" spans="1:17" s="13" customFormat="1">
      <c r="A57" s="13"/>
      <c r="B57" s="13"/>
      <c r="C57" s="13"/>
      <c r="D57" s="13"/>
      <c r="E57" s="13"/>
      <c r="F57" s="13"/>
      <c r="G57" s="13"/>
      <c r="H57" s="13"/>
      <c r="I57" s="13"/>
      <c r="J57" s="13"/>
      <c r="K57" s="13"/>
      <c r="L57" s="13"/>
      <c r="M57" s="13"/>
      <c r="N57" s="13"/>
      <c r="O57" s="13"/>
      <c r="P57" s="13"/>
      <c r="Q57" s="13"/>
    </row>
    <row r="58" spans="1:17" s="13" customFormat="1">
      <c r="A58" s="13"/>
      <c r="B58" s="13"/>
      <c r="C58" s="13"/>
      <c r="D58" s="13"/>
      <c r="E58" s="13"/>
      <c r="F58" s="13"/>
      <c r="G58" s="13"/>
      <c r="H58" s="13"/>
      <c r="I58" s="13"/>
      <c r="J58" s="13"/>
      <c r="K58" s="13"/>
      <c r="L58" s="13"/>
      <c r="M58" s="13"/>
      <c r="N58" s="13"/>
      <c r="O58" s="13"/>
      <c r="P58" s="13"/>
      <c r="Q58" s="13"/>
    </row>
    <row r="59" spans="1:17" s="13" customFormat="1">
      <c r="A59" s="13"/>
      <c r="B59" s="13"/>
      <c r="C59" s="13"/>
      <c r="D59" s="13"/>
      <c r="E59" s="13"/>
      <c r="F59" s="13"/>
      <c r="G59" s="13"/>
      <c r="H59" s="13"/>
      <c r="I59" s="13"/>
      <c r="J59" s="13"/>
      <c r="K59" s="13"/>
      <c r="L59" s="13"/>
      <c r="M59" s="13"/>
      <c r="N59" s="13"/>
      <c r="O59" s="13"/>
      <c r="P59" s="13"/>
      <c r="Q59" s="13"/>
    </row>
    <row r="60" spans="1:17" s="13" customFormat="1">
      <c r="A60" s="13"/>
      <c r="B60" s="13"/>
      <c r="C60" s="13"/>
      <c r="D60" s="13"/>
      <c r="E60" s="13"/>
      <c r="F60" s="13"/>
      <c r="G60" s="13"/>
      <c r="H60" s="13"/>
      <c r="I60" s="13"/>
      <c r="J60" s="13"/>
      <c r="K60" s="13"/>
      <c r="L60" s="13"/>
      <c r="M60" s="13"/>
      <c r="N60" s="13"/>
      <c r="O60" s="13"/>
      <c r="P60" s="13"/>
      <c r="Q60" s="13"/>
    </row>
    <row r="61" spans="1:17" s="13" customFormat="1">
      <c r="A61" s="13"/>
      <c r="B61" s="13"/>
      <c r="C61" s="13"/>
      <c r="D61" s="13"/>
      <c r="E61" s="13"/>
      <c r="F61" s="13"/>
      <c r="G61" s="13"/>
      <c r="H61" s="13"/>
      <c r="I61" s="13"/>
      <c r="J61" s="13"/>
      <c r="K61" s="13"/>
      <c r="L61" s="13"/>
      <c r="M61" s="13"/>
      <c r="N61" s="13"/>
      <c r="O61" s="13"/>
      <c r="P61" s="13"/>
      <c r="Q61" s="13"/>
    </row>
    <row r="62" spans="1:17" s="13" customFormat="1">
      <c r="A62" s="13"/>
      <c r="B62" s="13"/>
      <c r="C62" s="13"/>
      <c r="D62" s="13"/>
      <c r="E62" s="13"/>
      <c r="F62" s="13"/>
      <c r="G62" s="13"/>
      <c r="H62" s="13"/>
      <c r="I62" s="13"/>
      <c r="J62" s="13"/>
      <c r="K62" s="13"/>
      <c r="L62" s="13"/>
      <c r="M62" s="13"/>
      <c r="N62" s="13"/>
      <c r="O62" s="13"/>
      <c r="P62" s="13"/>
      <c r="Q62" s="13"/>
    </row>
    <row r="63" spans="1:17" s="13" customFormat="1">
      <c r="A63" s="13"/>
      <c r="B63" s="13"/>
      <c r="C63" s="13"/>
      <c r="D63" s="13"/>
      <c r="E63" s="13"/>
      <c r="F63" s="13"/>
      <c r="G63" s="13"/>
      <c r="H63" s="13"/>
      <c r="I63" s="13"/>
      <c r="J63" s="13"/>
      <c r="K63" s="13"/>
      <c r="L63" s="13"/>
      <c r="M63" s="13"/>
      <c r="N63" s="13"/>
      <c r="O63" s="13"/>
      <c r="P63" s="13"/>
      <c r="Q63" s="13"/>
    </row>
    <row r="64" spans="1:17" s="13" customFormat="1">
      <c r="A64" s="13"/>
      <c r="B64" s="13"/>
      <c r="C64" s="13"/>
      <c r="D64" s="13"/>
      <c r="E64" s="13"/>
      <c r="F64" s="13"/>
      <c r="G64" s="13"/>
      <c r="H64" s="13"/>
      <c r="I64" s="13"/>
      <c r="J64" s="13"/>
      <c r="K64" s="13"/>
      <c r="L64" s="13"/>
      <c r="M64" s="13"/>
      <c r="N64" s="13"/>
      <c r="O64" s="13"/>
      <c r="P64" s="13"/>
      <c r="Q64" s="13"/>
    </row>
    <row r="65" spans="1:17" s="13" customFormat="1">
      <c r="A65" s="13"/>
      <c r="B65" s="13"/>
      <c r="C65" s="13"/>
      <c r="D65" s="13"/>
      <c r="E65" s="13"/>
      <c r="F65" s="13"/>
      <c r="G65" s="13"/>
      <c r="H65" s="13"/>
      <c r="I65" s="13"/>
      <c r="J65" s="13"/>
      <c r="K65" s="13"/>
      <c r="L65" s="13"/>
      <c r="M65" s="13"/>
      <c r="N65" s="13"/>
      <c r="O65" s="13"/>
      <c r="P65" s="13"/>
      <c r="Q65" s="13"/>
    </row>
    <row r="66" spans="1:17" s="13" customFormat="1">
      <c r="A66" s="13"/>
      <c r="B66" s="13"/>
      <c r="C66" s="13"/>
      <c r="D66" s="13"/>
      <c r="E66" s="13"/>
      <c r="F66" s="13"/>
      <c r="G66" s="13"/>
      <c r="H66" s="13"/>
      <c r="I66" s="13"/>
      <c r="J66" s="13"/>
      <c r="K66" s="13"/>
      <c r="L66" s="13"/>
      <c r="M66" s="13"/>
      <c r="N66" s="13"/>
      <c r="O66" s="13"/>
      <c r="P66" s="13"/>
      <c r="Q66" s="13"/>
    </row>
    <row r="67" spans="1:17" s="13" customFormat="1">
      <c r="A67" s="13"/>
      <c r="B67" s="13"/>
      <c r="C67" s="13"/>
      <c r="D67" s="13"/>
      <c r="E67" s="13"/>
      <c r="F67" s="13"/>
      <c r="G67" s="13"/>
      <c r="H67" s="13"/>
      <c r="I67" s="13"/>
      <c r="J67" s="13"/>
      <c r="K67" s="13"/>
      <c r="L67" s="13"/>
      <c r="M67" s="13"/>
      <c r="N67" s="13"/>
      <c r="O67" s="13"/>
      <c r="P67" s="13"/>
      <c r="Q67" s="13"/>
    </row>
    <row r="68" spans="1:17" s="13" customFormat="1">
      <c r="A68" s="13"/>
      <c r="B68" s="13"/>
      <c r="C68" s="13"/>
      <c r="D68" s="13"/>
      <c r="E68" s="13"/>
      <c r="F68" s="13"/>
      <c r="G68" s="13"/>
      <c r="H68" s="13"/>
      <c r="I68" s="13"/>
      <c r="J68" s="13"/>
      <c r="K68" s="13"/>
      <c r="L68" s="13"/>
      <c r="M68" s="13"/>
      <c r="N68" s="13"/>
      <c r="O68" s="13"/>
      <c r="P68" s="13"/>
      <c r="Q68" s="13"/>
    </row>
    <row r="69" spans="1:17" s="13" customFormat="1">
      <c r="A69" s="13"/>
      <c r="B69" s="13"/>
      <c r="C69" s="13"/>
      <c r="D69" s="13"/>
      <c r="E69" s="13"/>
      <c r="F69" s="13"/>
      <c r="G69" s="13"/>
      <c r="H69" s="13"/>
      <c r="I69" s="13"/>
      <c r="J69" s="13"/>
      <c r="K69" s="13"/>
      <c r="L69" s="13"/>
      <c r="M69" s="13"/>
      <c r="N69" s="13"/>
      <c r="O69" s="13"/>
      <c r="P69" s="13"/>
      <c r="Q69" s="13"/>
    </row>
    <row r="70" spans="1:17" s="13" customFormat="1">
      <c r="A70" s="13"/>
      <c r="B70" s="13"/>
      <c r="C70" s="13"/>
      <c r="D70" s="13"/>
      <c r="E70" s="13"/>
      <c r="F70" s="13"/>
      <c r="G70" s="13"/>
      <c r="H70" s="13"/>
      <c r="I70" s="13"/>
      <c r="J70" s="13"/>
      <c r="K70" s="13"/>
      <c r="L70" s="13"/>
      <c r="M70" s="13"/>
      <c r="N70" s="13"/>
      <c r="O70" s="13"/>
      <c r="P70" s="13"/>
      <c r="Q70" s="13"/>
    </row>
    <row r="71" spans="1:17" s="13" customFormat="1">
      <c r="A71" s="13"/>
      <c r="B71" s="13"/>
      <c r="C71" s="13"/>
      <c r="D71" s="13"/>
      <c r="E71" s="13"/>
      <c r="F71" s="13"/>
      <c r="G71" s="13"/>
      <c r="H71" s="13"/>
      <c r="I71" s="13"/>
      <c r="J71" s="13"/>
      <c r="K71" s="13"/>
      <c r="L71" s="13"/>
      <c r="M71" s="13"/>
      <c r="N71" s="13"/>
      <c r="O71" s="13"/>
      <c r="P71" s="13"/>
      <c r="Q71" s="13"/>
    </row>
    <row r="72" spans="1:17" s="13" customFormat="1">
      <c r="A72" s="13"/>
      <c r="B72" s="13"/>
      <c r="C72" s="13"/>
      <c r="D72" s="13"/>
      <c r="E72" s="13"/>
      <c r="F72" s="13"/>
      <c r="G72" s="13"/>
      <c r="H72" s="13"/>
      <c r="I72" s="13"/>
      <c r="J72" s="13"/>
      <c r="K72" s="13"/>
      <c r="L72" s="13"/>
      <c r="M72" s="13"/>
      <c r="N72" s="13"/>
      <c r="O72" s="13"/>
      <c r="P72" s="13"/>
      <c r="Q72" s="13"/>
    </row>
    <row r="73" spans="1:17" s="13" customFormat="1">
      <c r="A73" s="13"/>
      <c r="B73" s="13"/>
      <c r="C73" s="13"/>
      <c r="D73" s="13"/>
      <c r="E73" s="13"/>
      <c r="F73" s="13"/>
      <c r="G73" s="13"/>
      <c r="H73" s="13"/>
      <c r="I73" s="13"/>
      <c r="J73" s="13"/>
      <c r="K73" s="13"/>
      <c r="L73" s="13"/>
      <c r="M73" s="13"/>
      <c r="N73" s="13"/>
      <c r="O73" s="13"/>
      <c r="P73" s="13"/>
      <c r="Q73" s="13"/>
    </row>
    <row r="74" spans="1:17" s="13" customFormat="1">
      <c r="A74" s="13"/>
      <c r="B74" s="13"/>
      <c r="C74" s="13"/>
      <c r="D74" s="13"/>
      <c r="E74" s="13"/>
      <c r="F74" s="13"/>
      <c r="G74" s="13"/>
      <c r="H74" s="13"/>
      <c r="I74" s="13"/>
      <c r="J74" s="13"/>
      <c r="K74" s="13"/>
      <c r="L74" s="13"/>
      <c r="M74" s="13"/>
      <c r="N74" s="13"/>
      <c r="O74" s="13"/>
      <c r="P74" s="13"/>
      <c r="Q74" s="13"/>
    </row>
    <row r="75" spans="1:17" s="13" customFormat="1">
      <c r="A75" s="13"/>
      <c r="B75" s="13"/>
      <c r="C75" s="13"/>
      <c r="D75" s="13"/>
      <c r="E75" s="13"/>
      <c r="F75" s="13"/>
      <c r="G75" s="13"/>
      <c r="H75" s="13"/>
      <c r="I75" s="13"/>
      <c r="J75" s="13"/>
      <c r="K75" s="13"/>
      <c r="L75" s="13"/>
      <c r="M75" s="13"/>
      <c r="N75" s="13"/>
      <c r="O75" s="13"/>
      <c r="P75" s="13"/>
      <c r="Q75" s="13"/>
    </row>
    <row r="76" spans="1:17" s="13" customFormat="1">
      <c r="A76" s="13"/>
      <c r="B76" s="13"/>
      <c r="C76" s="13"/>
      <c r="D76" s="13"/>
      <c r="E76" s="13"/>
      <c r="F76" s="13"/>
      <c r="G76" s="13"/>
      <c r="H76" s="13"/>
      <c r="I76" s="13"/>
      <c r="J76" s="13"/>
      <c r="K76" s="13"/>
      <c r="L76" s="13"/>
      <c r="M76" s="13"/>
      <c r="N76" s="13"/>
      <c r="O76" s="13"/>
      <c r="P76" s="13"/>
      <c r="Q76" s="13"/>
    </row>
    <row r="77" spans="1:17" s="13" customFormat="1">
      <c r="A77" s="13"/>
      <c r="B77" s="13"/>
      <c r="C77" s="13"/>
      <c r="D77" s="13"/>
      <c r="E77" s="13"/>
      <c r="F77" s="13"/>
      <c r="G77" s="13"/>
      <c r="H77" s="13"/>
      <c r="I77" s="13"/>
      <c r="J77" s="13"/>
      <c r="K77" s="13"/>
      <c r="L77" s="13"/>
      <c r="M77" s="13"/>
      <c r="N77" s="13"/>
      <c r="O77" s="13"/>
      <c r="P77" s="13"/>
      <c r="Q77" s="13"/>
    </row>
    <row r="78" spans="1:17" s="13" customFormat="1">
      <c r="A78" s="13"/>
      <c r="B78" s="13"/>
      <c r="C78" s="13"/>
      <c r="D78" s="13"/>
      <c r="E78" s="13"/>
      <c r="F78" s="13"/>
      <c r="G78" s="13"/>
      <c r="H78" s="13"/>
      <c r="I78" s="13"/>
      <c r="J78" s="13"/>
      <c r="K78" s="13"/>
      <c r="L78" s="13"/>
      <c r="M78" s="13"/>
      <c r="N78" s="13"/>
      <c r="O78" s="13"/>
      <c r="P78" s="13"/>
      <c r="Q78" s="13"/>
    </row>
    <row r="79" spans="1:17" s="13" customFormat="1">
      <c r="A79" s="13"/>
      <c r="B79" s="13"/>
      <c r="C79" s="13"/>
      <c r="D79" s="13"/>
      <c r="E79" s="13"/>
      <c r="F79" s="13"/>
      <c r="G79" s="13"/>
      <c r="H79" s="13"/>
      <c r="I79" s="13"/>
      <c r="J79" s="13"/>
      <c r="K79" s="13"/>
      <c r="L79" s="13"/>
      <c r="M79" s="13"/>
      <c r="N79" s="13"/>
      <c r="O79" s="13"/>
      <c r="P79" s="13"/>
      <c r="Q79" s="13"/>
    </row>
    <row r="80" spans="1:17" s="13" customFormat="1">
      <c r="A80" s="13"/>
      <c r="B80" s="13"/>
      <c r="C80" s="13"/>
      <c r="D80" s="13"/>
      <c r="E80" s="13"/>
      <c r="F80" s="13"/>
      <c r="G80" s="13"/>
      <c r="H80" s="13"/>
      <c r="I80" s="13"/>
      <c r="J80" s="13"/>
      <c r="K80" s="13"/>
      <c r="L80" s="13"/>
      <c r="M80" s="13"/>
      <c r="N80" s="13"/>
      <c r="O80" s="13"/>
      <c r="P80" s="13"/>
      <c r="Q80" s="13"/>
    </row>
  </sheetData>
  <mergeCells count="34">
    <mergeCell ref="B2:O2"/>
    <mergeCell ref="B3:O3"/>
    <mergeCell ref="B6:D6"/>
    <mergeCell ref="B7:D7"/>
    <mergeCell ref="B8:D8"/>
    <mergeCell ref="E6:G6"/>
    <mergeCell ref="E7:G7"/>
    <mergeCell ref="E8:G8"/>
    <mergeCell ref="H6:J6"/>
    <mergeCell ref="H7:J7"/>
    <mergeCell ref="H8:J8"/>
    <mergeCell ref="K6:M6"/>
    <mergeCell ref="K7:M7"/>
    <mergeCell ref="K8:M8"/>
    <mergeCell ref="N6:P6"/>
    <mergeCell ref="N7:P7"/>
    <mergeCell ref="N8:P8"/>
    <mergeCell ref="B10:D10"/>
    <mergeCell ref="B11:D11"/>
    <mergeCell ref="B12:D12"/>
    <mergeCell ref="E10:G10"/>
    <mergeCell ref="E11:G11"/>
    <mergeCell ref="E12:G12"/>
    <mergeCell ref="H10:J10"/>
    <mergeCell ref="H11:J11"/>
    <mergeCell ref="H12:J12"/>
    <mergeCell ref="K10:M10"/>
    <mergeCell ref="K11:M11"/>
    <mergeCell ref="K12:M12"/>
    <mergeCell ref="N10:P10"/>
    <mergeCell ref="N11:P11"/>
    <mergeCell ref="N12:P12"/>
    <mergeCell ref="B14:O14"/>
    <mergeCell ref="B52:O5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sheetPr>
    <tabColor rgb="FF3FB6F9"/>
  </sheetPr>
  <dimension ref="A1:Q60"/>
  <sheetViews>
    <sheetView showGridLines="0" zoomScale="90" zoomScaleNormal="90" workbookViewId="0"/>
  </sheetViews>
  <sheetFormatPr defaultRowHeight="15"/>
  <cols>
    <col min="1" max="1" width="2.7109375" customWidth="1"/>
    <col min="2" max="15" width="13.7109375" customWidth="1"/>
  </cols>
  <sheetData>
    <row r="1" spans="1:17" s="13" customFormat="1">
      <c r="A1" s="13"/>
      <c r="B1" s="13"/>
      <c r="C1" s="13"/>
      <c r="D1" s="13"/>
      <c r="E1" s="13"/>
      <c r="F1" s="13"/>
      <c r="G1" s="13"/>
      <c r="H1" s="13"/>
      <c r="I1" s="13"/>
      <c r="J1" s="13"/>
      <c r="K1" s="13"/>
      <c r="L1" s="13"/>
      <c r="M1" s="13"/>
      <c r="N1" s="13"/>
      <c r="O1" s="13"/>
      <c r="P1" s="13"/>
      <c r="Q1" s="13"/>
    </row>
    <row r="2" spans="1:17" ht="38" customHeight="1">
      <c r="A2" s="13"/>
      <c r="B2" s="14" t="s">
        <v>329</v>
      </c>
      <c r="C2" s="14"/>
      <c r="D2" s="14"/>
      <c r="E2" s="14"/>
      <c r="F2" s="14"/>
      <c r="G2" s="14"/>
      <c r="H2" s="14"/>
      <c r="I2" s="14"/>
      <c r="J2" s="14"/>
      <c r="K2" s="14"/>
      <c r="L2" s="14"/>
      <c r="M2" s="14"/>
      <c r="N2" s="14"/>
      <c r="O2" s="14"/>
      <c r="P2" s="13"/>
      <c r="Q2" s="13"/>
    </row>
    <row r="3" spans="1:17" ht="18" customHeight="1">
      <c r="A3" s="13"/>
      <c r="B3" s="15" t="s">
        <v>330</v>
      </c>
      <c r="C3" s="15"/>
      <c r="D3" s="15"/>
      <c r="E3" s="15"/>
      <c r="F3" s="15"/>
      <c r="G3" s="15"/>
      <c r="H3" s="15"/>
      <c r="I3" s="15"/>
      <c r="J3" s="15"/>
      <c r="K3" s="15"/>
      <c r="L3" s="15"/>
      <c r="M3" s="15"/>
      <c r="N3" s="15"/>
      <c r="O3" s="15"/>
      <c r="P3" s="13"/>
      <c r="Q3" s="13"/>
    </row>
    <row r="4" spans="1:17" s="13" customFormat="1">
      <c r="A4" s="13"/>
      <c r="B4" s="13"/>
      <c r="C4" s="13"/>
      <c r="D4" s="13"/>
      <c r="E4" s="13"/>
      <c r="F4" s="13"/>
      <c r="G4" s="13"/>
      <c r="H4" s="13"/>
      <c r="I4" s="13"/>
      <c r="J4" s="13"/>
      <c r="K4" s="13"/>
      <c r="L4" s="13"/>
      <c r="M4" s="13"/>
      <c r="N4" s="13"/>
      <c r="O4" s="13"/>
      <c r="P4" s="13"/>
      <c r="Q4" s="13"/>
    </row>
    <row r="5" spans="1:17" ht="22" customHeight="1">
      <c r="A5" s="13"/>
      <c r="B5" s="34" t="s">
        <v>331</v>
      </c>
      <c r="C5" s="34"/>
      <c r="D5" s="34"/>
      <c r="E5" s="34"/>
      <c r="F5" s="34"/>
      <c r="G5" s="34"/>
      <c r="H5" s="34"/>
      <c r="I5" s="34"/>
      <c r="J5" s="34"/>
      <c r="K5" s="34"/>
      <c r="L5" s="34"/>
      <c r="M5" s="34"/>
      <c r="N5" s="34"/>
      <c r="O5" s="34"/>
      <c r="P5" s="13"/>
      <c r="Q5" s="13"/>
    </row>
    <row r="6" spans="1:17" s="13" customFormat="1">
      <c r="A6" s="13"/>
      <c r="B6" s="13"/>
      <c r="C6" s="13"/>
      <c r="D6" s="13"/>
      <c r="E6" s="13"/>
      <c r="F6" s="13"/>
      <c r="G6" s="13"/>
      <c r="H6" s="13"/>
      <c r="I6" s="13"/>
      <c r="J6" s="13"/>
      <c r="K6" s="13"/>
      <c r="L6" s="13"/>
      <c r="M6" s="13"/>
      <c r="N6" s="13"/>
      <c r="O6" s="13"/>
      <c r="P6" s="13"/>
      <c r="Q6" s="13"/>
    </row>
    <row r="7" spans="1:17" ht="22" customHeight="1">
      <c r="A7" s="13"/>
      <c r="B7" s="36" t="s">
        <v>332</v>
      </c>
      <c r="C7" s="36" t="s">
        <v>280</v>
      </c>
      <c r="D7" s="36" t="s">
        <v>36</v>
      </c>
      <c r="E7" s="36" t="s">
        <v>55</v>
      </c>
      <c r="F7" s="36" t="s">
        <v>333</v>
      </c>
      <c r="G7" s="13"/>
      <c r="H7" s="13"/>
      <c r="I7" s="13"/>
      <c r="J7" s="13"/>
      <c r="K7" s="13"/>
      <c r="L7" s="13"/>
      <c r="M7" s="13"/>
      <c r="N7" s="13"/>
      <c r="O7" s="13"/>
      <c r="P7" s="13"/>
      <c r="Q7" s="13"/>
    </row>
    <row r="8" spans="1:17" ht="22" customHeight="1">
      <c r="A8" s="13"/>
      <c r="B8" s="37" t="s">
        <v>52</v>
      </c>
      <c r="C8" s="38">
        <v>9</v>
      </c>
      <c r="D8" s="38">
        <v>5</v>
      </c>
      <c r="E8" s="38">
        <v>4</v>
      </c>
      <c r="F8" s="39">
        <v>0.1451612903225807</v>
      </c>
      <c r="G8" s="13"/>
      <c r="H8" s="13"/>
      <c r="I8" s="13"/>
      <c r="J8" s="13"/>
      <c r="K8" s="13"/>
      <c r="L8" s="13"/>
      <c r="M8" s="13"/>
      <c r="N8" s="13"/>
      <c r="O8" s="13"/>
      <c r="P8" s="13"/>
      <c r="Q8" s="13"/>
    </row>
    <row r="9" spans="1:17" s="13" customFormat="1">
      <c r="A9" s="13"/>
      <c r="B9" s="37" t="s">
        <v>167</v>
      </c>
      <c r="C9" s="38">
        <v>1</v>
      </c>
      <c r="D9" s="38">
        <v>1</v>
      </c>
      <c r="E9" s="38">
        <v>0</v>
      </c>
      <c r="F9" s="39">
        <v>0.01612903225806452</v>
      </c>
      <c r="G9" s="13"/>
      <c r="H9" s="13"/>
      <c r="I9" s="13"/>
      <c r="J9" s="13"/>
      <c r="K9" s="13"/>
      <c r="L9" s="13"/>
      <c r="M9" s="13"/>
      <c r="N9" s="13"/>
      <c r="O9" s="13"/>
      <c r="P9" s="13"/>
      <c r="Q9" s="13"/>
    </row>
    <row r="10" spans="1:17" s="13" customFormat="1">
      <c r="A10" s="13"/>
      <c r="B10" s="37" t="s">
        <v>34</v>
      </c>
      <c r="C10" s="38">
        <v>52</v>
      </c>
      <c r="D10" s="38">
        <v>16</v>
      </c>
      <c r="E10" s="38">
        <v>36</v>
      </c>
      <c r="F10" s="39">
        <v>0.8387096774193549</v>
      </c>
      <c r="G10" s="13"/>
      <c r="H10" s="13"/>
      <c r="I10" s="13"/>
      <c r="J10" s="13"/>
      <c r="K10" s="13"/>
      <c r="L10" s="13"/>
      <c r="M10" s="13"/>
      <c r="N10" s="13"/>
      <c r="O10" s="13"/>
      <c r="P10" s="13"/>
      <c r="Q10" s="13"/>
    </row>
    <row r="11" spans="1:17" s="13" customFormat="1">
      <c r="A11" s="13"/>
      <c r="B11" s="13"/>
      <c r="C11" s="13"/>
      <c r="D11" s="13"/>
      <c r="E11" s="13"/>
      <c r="F11" s="13"/>
      <c r="G11" s="13"/>
      <c r="H11" s="13"/>
      <c r="I11" s="13"/>
      <c r="J11" s="13"/>
      <c r="K11" s="13"/>
      <c r="L11" s="13"/>
      <c r="M11" s="13"/>
      <c r="N11" s="13"/>
      <c r="O11" s="13"/>
      <c r="P11" s="13"/>
      <c r="Q11" s="13"/>
    </row>
    <row r="12" spans="1:17" s="13" customFormat="1">
      <c r="A12" s="13"/>
      <c r="B12" s="13"/>
      <c r="C12" s="13"/>
      <c r="D12" s="13"/>
      <c r="E12" s="13"/>
      <c r="F12" s="13"/>
      <c r="G12" s="13"/>
      <c r="H12" s="13"/>
      <c r="I12" s="13"/>
      <c r="J12" s="13"/>
      <c r="K12" s="13"/>
      <c r="L12" s="13"/>
      <c r="M12" s="13"/>
      <c r="N12" s="13"/>
      <c r="O12" s="13"/>
      <c r="P12" s="13"/>
      <c r="Q12" s="13"/>
    </row>
    <row r="13" spans="1:17" s="13" customFormat="1">
      <c r="A13" s="13"/>
      <c r="B13" s="13"/>
      <c r="C13" s="13"/>
      <c r="D13" s="13"/>
      <c r="E13" s="13"/>
      <c r="F13" s="13"/>
      <c r="G13" s="13"/>
      <c r="H13" s="13"/>
      <c r="I13" s="13"/>
      <c r="J13" s="13"/>
      <c r="K13" s="13"/>
      <c r="L13" s="13"/>
      <c r="M13" s="13"/>
      <c r="N13" s="13"/>
      <c r="O13" s="13"/>
      <c r="P13" s="13"/>
      <c r="Q13" s="13"/>
    </row>
    <row r="14" spans="1:17" s="13" customFormat="1">
      <c r="A14" s="13"/>
      <c r="B14" s="13"/>
      <c r="C14" s="13"/>
      <c r="D14" s="13"/>
      <c r="E14" s="13"/>
      <c r="F14" s="13"/>
      <c r="G14" s="13"/>
      <c r="H14" s="13"/>
      <c r="I14" s="13"/>
      <c r="J14" s="13"/>
      <c r="K14" s="13"/>
      <c r="L14" s="13"/>
      <c r="M14" s="13"/>
      <c r="N14" s="13"/>
      <c r="O14" s="13"/>
      <c r="P14" s="13"/>
      <c r="Q14" s="13"/>
    </row>
    <row r="15" spans="1:17" s="13" customFormat="1">
      <c r="A15" s="13"/>
      <c r="B15" s="13"/>
      <c r="C15" s="13"/>
      <c r="D15" s="13"/>
      <c r="E15" s="13"/>
      <c r="F15" s="13"/>
      <c r="G15" s="13"/>
      <c r="H15" s="13"/>
      <c r="I15" s="13"/>
      <c r="J15" s="13"/>
      <c r="K15" s="13"/>
      <c r="L15" s="13"/>
      <c r="M15" s="13"/>
      <c r="N15" s="13"/>
      <c r="O15" s="13"/>
      <c r="P15" s="13"/>
      <c r="Q15" s="13"/>
    </row>
    <row r="16" spans="1:17" s="13" customFormat="1">
      <c r="A16" s="13"/>
      <c r="B16" s="13"/>
      <c r="C16" s="13"/>
      <c r="D16" s="13"/>
      <c r="E16" s="13"/>
      <c r="F16" s="13"/>
      <c r="G16" s="13"/>
      <c r="H16" s="13"/>
      <c r="I16" s="13"/>
      <c r="J16" s="13"/>
      <c r="K16" s="13"/>
      <c r="L16" s="13"/>
      <c r="M16" s="13"/>
      <c r="N16" s="13"/>
      <c r="O16" s="13"/>
      <c r="P16" s="13"/>
      <c r="Q16" s="13"/>
    </row>
    <row r="17" spans="1:17" s="13" customFormat="1">
      <c r="A17" s="13"/>
      <c r="B17" s="13"/>
      <c r="C17" s="13"/>
      <c r="D17" s="13"/>
      <c r="E17" s="13"/>
      <c r="F17" s="13"/>
      <c r="G17" s="13"/>
      <c r="H17" s="36" t="s">
        <v>334</v>
      </c>
      <c r="I17" s="13"/>
      <c r="J17" s="13"/>
      <c r="K17" s="13"/>
      <c r="L17" s="13"/>
      <c r="M17" s="13"/>
      <c r="N17" s="13"/>
      <c r="O17" s="13"/>
      <c r="P17" s="13"/>
      <c r="Q17" s="13"/>
    </row>
    <row r="18" spans="1:17" s="13" customFormat="1">
      <c r="A18" s="13"/>
      <c r="B18" s="13"/>
      <c r="C18" s="13"/>
      <c r="D18" s="13"/>
      <c r="E18" s="13"/>
      <c r="F18" s="13"/>
      <c r="G18" s="13"/>
      <c r="H18" s="36" t="s">
        <v>7</v>
      </c>
      <c r="I18" s="36" t="s">
        <v>284</v>
      </c>
      <c r="J18" s="13"/>
      <c r="K18" s="13"/>
      <c r="L18" s="13"/>
      <c r="M18" s="13"/>
      <c r="N18" s="13"/>
      <c r="O18" s="13"/>
      <c r="P18" s="13"/>
      <c r="Q18" s="13"/>
    </row>
    <row r="19" spans="1:17" s="13" customFormat="1">
      <c r="A19" s="13"/>
      <c r="B19" s="13"/>
      <c r="C19" s="13"/>
      <c r="D19" s="13"/>
      <c r="E19" s="13"/>
      <c r="F19" s="13"/>
      <c r="G19" s="13"/>
      <c r="H19" s="37" t="s">
        <v>43</v>
      </c>
      <c r="I19" s="38">
        <v>47</v>
      </c>
      <c r="J19" s="13"/>
      <c r="K19" s="13"/>
      <c r="L19" s="13"/>
      <c r="M19" s="13"/>
      <c r="N19" s="13"/>
      <c r="O19" s="13"/>
      <c r="P19" s="13"/>
      <c r="Q19" s="13"/>
    </row>
    <row r="20" spans="1:17" s="13" customFormat="1">
      <c r="A20" s="13"/>
      <c r="B20" s="13"/>
      <c r="C20" s="13"/>
      <c r="D20" s="13"/>
      <c r="E20" s="13"/>
      <c r="F20" s="13"/>
      <c r="G20" s="13"/>
      <c r="H20" s="37" t="s">
        <v>29</v>
      </c>
      <c r="I20" s="38">
        <v>15</v>
      </c>
      <c r="J20" s="13"/>
      <c r="K20" s="13"/>
      <c r="L20" s="13"/>
      <c r="M20" s="13"/>
      <c r="N20" s="13"/>
      <c r="O20" s="13"/>
      <c r="P20" s="13"/>
      <c r="Q20" s="13"/>
    </row>
    <row r="21" spans="1:17" s="13" customFormat="1">
      <c r="A21" s="13"/>
      <c r="B21" s="13"/>
      <c r="C21" s="13"/>
      <c r="D21" s="13"/>
      <c r="E21" s="13"/>
      <c r="F21" s="13"/>
      <c r="G21" s="13"/>
      <c r="H21" s="13"/>
      <c r="I21" s="13"/>
      <c r="J21" s="13"/>
      <c r="K21" s="13"/>
      <c r="L21" s="13"/>
      <c r="M21" s="13"/>
      <c r="N21" s="13"/>
      <c r="O21" s="13"/>
      <c r="P21" s="13"/>
      <c r="Q21" s="13"/>
    </row>
    <row r="22" spans="1:17" s="13" customFormat="1">
      <c r="A22" s="13"/>
      <c r="B22" s="13"/>
      <c r="C22" s="13"/>
      <c r="D22" s="13"/>
      <c r="E22" s="13"/>
      <c r="F22" s="13"/>
      <c r="G22" s="13"/>
      <c r="H22" s="13"/>
      <c r="I22" s="13"/>
      <c r="J22" s="13"/>
      <c r="K22" s="13"/>
      <c r="L22" s="13"/>
      <c r="M22" s="13"/>
      <c r="N22" s="13"/>
      <c r="O22" s="13"/>
      <c r="P22" s="13"/>
      <c r="Q22" s="13"/>
    </row>
    <row r="23" spans="1:17" s="13" customFormat="1">
      <c r="A23" s="13"/>
      <c r="B23" s="13"/>
      <c r="C23" s="13"/>
      <c r="D23" s="13"/>
      <c r="E23" s="13"/>
      <c r="F23" s="13"/>
      <c r="G23" s="13"/>
      <c r="H23" s="13"/>
      <c r="I23" s="13"/>
      <c r="J23" s="13"/>
      <c r="K23" s="13"/>
      <c r="L23" s="13"/>
      <c r="M23" s="13"/>
      <c r="N23" s="13"/>
      <c r="O23" s="13"/>
      <c r="P23" s="13"/>
      <c r="Q23" s="13"/>
    </row>
    <row r="24" spans="1:17" s="13" customFormat="1">
      <c r="A24" s="13"/>
      <c r="B24" s="13"/>
      <c r="C24" s="13"/>
      <c r="D24" s="13"/>
      <c r="E24" s="13"/>
      <c r="F24" s="13"/>
      <c r="G24" s="13"/>
      <c r="H24" s="13"/>
      <c r="I24" s="13"/>
      <c r="J24" s="13"/>
      <c r="K24" s="13"/>
      <c r="L24" s="13"/>
      <c r="M24" s="13"/>
      <c r="N24" s="13"/>
      <c r="O24" s="13"/>
      <c r="P24" s="13"/>
      <c r="Q24" s="13"/>
    </row>
    <row r="25" spans="1:17" s="13" customFormat="1">
      <c r="A25" s="13"/>
      <c r="B25" s="13"/>
      <c r="C25" s="13"/>
      <c r="D25" s="13"/>
      <c r="E25" s="13"/>
      <c r="F25" s="13"/>
      <c r="G25" s="13"/>
      <c r="H25" s="13"/>
      <c r="I25" s="13"/>
      <c r="J25" s="13"/>
      <c r="K25" s="13"/>
      <c r="L25" s="13"/>
      <c r="M25" s="13"/>
      <c r="N25" s="13"/>
      <c r="O25" s="13"/>
      <c r="P25" s="13"/>
      <c r="Q25" s="13"/>
    </row>
    <row r="26" spans="1:17" s="13" customFormat="1">
      <c r="A26" s="13"/>
      <c r="B26" s="13"/>
      <c r="C26" s="13"/>
      <c r="D26" s="13"/>
      <c r="E26" s="13"/>
      <c r="F26" s="13"/>
      <c r="G26" s="13"/>
      <c r="H26" s="13"/>
      <c r="I26" s="13"/>
      <c r="J26" s="13"/>
      <c r="K26" s="13"/>
      <c r="L26" s="13"/>
      <c r="M26" s="13"/>
      <c r="N26" s="13"/>
      <c r="O26" s="13"/>
      <c r="P26" s="13"/>
      <c r="Q26" s="13"/>
    </row>
    <row r="27" spans="1:17" s="13" customFormat="1">
      <c r="A27" s="13"/>
      <c r="B27" s="13"/>
      <c r="C27" s="13"/>
      <c r="D27" s="13"/>
      <c r="E27" s="13"/>
      <c r="F27" s="13"/>
      <c r="G27" s="13"/>
      <c r="H27" s="13"/>
      <c r="I27" s="13"/>
      <c r="J27" s="13"/>
      <c r="K27" s="13"/>
      <c r="L27" s="13"/>
      <c r="M27" s="13"/>
      <c r="N27" s="13"/>
      <c r="O27" s="13"/>
      <c r="P27" s="13"/>
      <c r="Q27" s="13"/>
    </row>
    <row r="28" spans="1:17" s="13" customFormat="1">
      <c r="A28" s="13"/>
      <c r="B28" s="13"/>
      <c r="C28" s="13"/>
      <c r="D28" s="13"/>
      <c r="E28" s="13"/>
      <c r="F28" s="13"/>
      <c r="G28" s="13"/>
      <c r="H28" s="13"/>
      <c r="I28" s="13"/>
      <c r="J28" s="13"/>
      <c r="K28" s="13"/>
      <c r="L28" s="13"/>
      <c r="M28" s="13"/>
      <c r="N28" s="13"/>
      <c r="O28" s="13"/>
      <c r="P28" s="13"/>
      <c r="Q28" s="13"/>
    </row>
    <row r="29" spans="1:17" s="13" customFormat="1">
      <c r="A29" s="13"/>
      <c r="B29" s="13"/>
      <c r="C29" s="13"/>
      <c r="D29" s="13"/>
      <c r="E29" s="13"/>
      <c r="F29" s="13"/>
      <c r="G29" s="13"/>
      <c r="H29" s="13"/>
      <c r="I29" s="13"/>
      <c r="J29" s="13"/>
      <c r="K29" s="13"/>
      <c r="L29" s="13"/>
      <c r="M29" s="13"/>
      <c r="N29" s="13"/>
      <c r="O29" s="13"/>
      <c r="P29" s="13"/>
      <c r="Q29" s="13"/>
    </row>
    <row r="30" spans="1:17" s="13" customFormat="1">
      <c r="A30" s="13"/>
      <c r="B30" s="13"/>
      <c r="C30" s="13"/>
      <c r="D30" s="13"/>
      <c r="E30" s="13"/>
      <c r="F30" s="13"/>
      <c r="G30" s="13"/>
      <c r="H30" s="13"/>
      <c r="I30" s="13"/>
      <c r="J30" s="13"/>
      <c r="K30" s="13"/>
      <c r="L30" s="13"/>
      <c r="M30" s="13"/>
      <c r="N30" s="13"/>
      <c r="O30" s="13"/>
      <c r="P30" s="13"/>
      <c r="Q30" s="13"/>
    </row>
    <row r="31" spans="1:17" s="13" customFormat="1">
      <c r="A31" s="13"/>
      <c r="B31" s="13"/>
      <c r="C31" s="13"/>
      <c r="D31" s="13"/>
      <c r="E31" s="13"/>
      <c r="F31" s="13"/>
      <c r="G31" s="13"/>
      <c r="H31" s="13"/>
      <c r="I31" s="13"/>
      <c r="J31" s="13"/>
      <c r="K31" s="13"/>
      <c r="L31" s="13"/>
      <c r="M31" s="13"/>
      <c r="N31" s="13"/>
      <c r="O31" s="13"/>
      <c r="P31" s="13"/>
      <c r="Q31" s="13"/>
    </row>
    <row r="32" spans="1:17" s="13" customFormat="1">
      <c r="A32" s="13"/>
      <c r="B32" s="13"/>
      <c r="C32" s="13"/>
      <c r="D32" s="13"/>
      <c r="E32" s="13"/>
      <c r="F32" s="13"/>
      <c r="G32" s="13"/>
      <c r="H32" s="13"/>
      <c r="I32" s="13"/>
      <c r="J32" s="13"/>
      <c r="K32" s="13"/>
      <c r="L32" s="13"/>
      <c r="M32" s="13"/>
      <c r="N32" s="13"/>
      <c r="O32" s="13"/>
      <c r="P32" s="13"/>
      <c r="Q32" s="13"/>
    </row>
    <row r="33" spans="1:17" s="13" customFormat="1">
      <c r="A33" s="13"/>
      <c r="B33" s="13"/>
      <c r="C33" s="13"/>
      <c r="D33" s="13"/>
      <c r="E33" s="13"/>
      <c r="F33" s="13"/>
      <c r="G33" s="13"/>
      <c r="H33" s="13"/>
      <c r="I33" s="13"/>
      <c r="J33" s="13"/>
      <c r="K33" s="13"/>
      <c r="L33" s="13"/>
      <c r="M33" s="13"/>
      <c r="N33" s="13"/>
      <c r="O33" s="13"/>
      <c r="P33" s="13"/>
      <c r="Q33" s="13"/>
    </row>
    <row r="34" spans="1:17" s="13" customFormat="1">
      <c r="A34" s="13"/>
      <c r="B34" s="13"/>
      <c r="C34" s="13"/>
      <c r="D34" s="13"/>
      <c r="E34" s="13"/>
      <c r="F34" s="13"/>
      <c r="G34" s="13"/>
      <c r="H34" s="13"/>
      <c r="I34" s="13"/>
      <c r="J34" s="13"/>
      <c r="K34" s="13"/>
      <c r="L34" s="13"/>
      <c r="M34" s="13"/>
      <c r="N34" s="13"/>
      <c r="O34" s="13"/>
      <c r="P34" s="13"/>
      <c r="Q34" s="13"/>
    </row>
    <row r="35" spans="1:17" s="13" customFormat="1">
      <c r="A35" s="13"/>
      <c r="B35" s="13"/>
      <c r="C35" s="13"/>
      <c r="D35" s="13"/>
      <c r="E35" s="13"/>
      <c r="F35" s="13"/>
      <c r="G35" s="13"/>
      <c r="H35" s="13"/>
      <c r="I35" s="13"/>
      <c r="J35" s="13"/>
      <c r="K35" s="13"/>
      <c r="L35" s="13"/>
      <c r="M35" s="13"/>
      <c r="N35" s="13"/>
      <c r="O35" s="13"/>
      <c r="P35" s="13"/>
      <c r="Q35" s="13"/>
    </row>
    <row r="36" spans="1:17" s="13" customFormat="1">
      <c r="A36" s="13"/>
      <c r="B36" s="13"/>
      <c r="C36" s="13"/>
      <c r="D36" s="13"/>
      <c r="E36" s="13"/>
      <c r="F36" s="13"/>
      <c r="G36" s="13"/>
      <c r="H36" s="13"/>
      <c r="I36" s="13"/>
      <c r="J36" s="13"/>
      <c r="K36" s="13"/>
      <c r="L36" s="13"/>
      <c r="M36" s="13"/>
      <c r="N36" s="13"/>
      <c r="O36" s="13"/>
      <c r="P36" s="13"/>
      <c r="Q36" s="13"/>
    </row>
    <row r="37" spans="1:17" s="13" customFormat="1">
      <c r="A37" s="13"/>
      <c r="B37" s="13"/>
      <c r="C37" s="13"/>
      <c r="D37" s="13"/>
      <c r="E37" s="13"/>
      <c r="F37" s="13"/>
      <c r="G37" s="13"/>
      <c r="H37" s="13"/>
      <c r="I37" s="13"/>
      <c r="J37" s="13"/>
      <c r="K37" s="13"/>
      <c r="L37" s="13"/>
      <c r="M37" s="13"/>
      <c r="N37" s="13"/>
      <c r="O37" s="13"/>
      <c r="P37" s="13"/>
      <c r="Q37" s="13"/>
    </row>
    <row r="38" spans="1:17" s="13" customFormat="1">
      <c r="A38" s="13"/>
      <c r="B38" s="13"/>
      <c r="C38" s="13"/>
      <c r="D38" s="13"/>
      <c r="E38" s="13"/>
      <c r="F38" s="13"/>
      <c r="G38" s="13"/>
      <c r="H38" s="13"/>
      <c r="I38" s="13"/>
      <c r="J38" s="13"/>
      <c r="K38" s="13"/>
      <c r="L38" s="13"/>
      <c r="M38" s="13"/>
      <c r="N38" s="13"/>
      <c r="O38" s="13"/>
      <c r="P38" s="13"/>
      <c r="Q38" s="13"/>
    </row>
    <row r="39" spans="1:17" s="13" customFormat="1">
      <c r="A39" s="13"/>
      <c r="B39" s="13"/>
      <c r="C39" s="13"/>
      <c r="D39" s="13"/>
      <c r="E39" s="13"/>
      <c r="F39" s="13"/>
      <c r="G39" s="13"/>
      <c r="H39" s="13"/>
      <c r="I39" s="13"/>
      <c r="J39" s="13"/>
      <c r="K39" s="13"/>
      <c r="L39" s="13"/>
      <c r="M39" s="13"/>
      <c r="N39" s="13"/>
      <c r="O39" s="13"/>
      <c r="P39" s="13"/>
      <c r="Q39" s="13"/>
    </row>
    <row r="40" spans="1:17" s="13" customFormat="1">
      <c r="A40" s="13"/>
      <c r="B40" s="13"/>
      <c r="C40" s="13"/>
      <c r="D40" s="13"/>
      <c r="E40" s="13"/>
      <c r="F40" s="13"/>
      <c r="G40" s="13"/>
      <c r="H40" s="13"/>
      <c r="I40" s="13"/>
      <c r="J40" s="13"/>
      <c r="K40" s="13"/>
      <c r="L40" s="13"/>
      <c r="M40" s="13"/>
      <c r="N40" s="13"/>
      <c r="O40" s="13"/>
      <c r="P40" s="13"/>
      <c r="Q40" s="13"/>
    </row>
    <row r="41" spans="1:17" s="13" customFormat="1">
      <c r="A41" s="13"/>
      <c r="B41" s="13"/>
      <c r="C41" s="13"/>
      <c r="D41" s="13"/>
      <c r="E41" s="13"/>
      <c r="F41" s="13"/>
      <c r="G41" s="13"/>
      <c r="H41" s="13"/>
      <c r="I41" s="13"/>
      <c r="J41" s="13"/>
      <c r="K41" s="13"/>
      <c r="L41" s="13"/>
      <c r="M41" s="13"/>
      <c r="N41" s="13"/>
      <c r="O41" s="13"/>
      <c r="P41" s="13"/>
      <c r="Q41" s="13"/>
    </row>
    <row r="42" spans="1:17" s="13" customFormat="1">
      <c r="A42" s="13"/>
      <c r="B42" s="13"/>
      <c r="C42" s="13"/>
      <c r="D42" s="13"/>
      <c r="E42" s="13"/>
      <c r="F42" s="13"/>
      <c r="G42" s="13"/>
      <c r="H42" s="13"/>
      <c r="I42" s="13"/>
      <c r="J42" s="13"/>
      <c r="K42" s="13"/>
      <c r="L42" s="13"/>
      <c r="M42" s="13"/>
      <c r="N42" s="13"/>
      <c r="O42" s="13"/>
      <c r="P42" s="13"/>
      <c r="Q42" s="13"/>
    </row>
    <row r="43" spans="1:17" s="13" customFormat="1">
      <c r="A43" s="13"/>
      <c r="B43" s="13"/>
      <c r="C43" s="13"/>
      <c r="D43" s="13"/>
      <c r="E43" s="13"/>
      <c r="F43" s="13"/>
      <c r="G43" s="13"/>
      <c r="H43" s="13"/>
      <c r="I43" s="13"/>
      <c r="J43" s="13"/>
      <c r="K43" s="13"/>
      <c r="L43" s="13"/>
      <c r="M43" s="13"/>
      <c r="N43" s="13"/>
      <c r="O43" s="13"/>
      <c r="P43" s="13"/>
      <c r="Q43" s="13"/>
    </row>
    <row r="44" spans="1:17" s="13" customFormat="1">
      <c r="A44" s="13"/>
      <c r="B44" s="13"/>
      <c r="C44" s="13"/>
      <c r="D44" s="13"/>
      <c r="E44" s="13"/>
      <c r="F44" s="13"/>
      <c r="G44" s="13"/>
      <c r="H44" s="13"/>
      <c r="I44" s="13"/>
      <c r="J44" s="13"/>
      <c r="K44" s="13"/>
      <c r="L44" s="13"/>
      <c r="M44" s="13"/>
      <c r="N44" s="13"/>
      <c r="O44" s="13"/>
      <c r="P44" s="13"/>
      <c r="Q44" s="13"/>
    </row>
    <row r="45" spans="1:17" s="13" customFormat="1">
      <c r="A45" s="13"/>
      <c r="B45" s="13"/>
      <c r="C45" s="13"/>
      <c r="D45" s="13"/>
      <c r="E45" s="13"/>
      <c r="F45" s="13"/>
      <c r="G45" s="13"/>
      <c r="H45" s="13"/>
      <c r="I45" s="13"/>
      <c r="J45" s="13"/>
      <c r="K45" s="13"/>
      <c r="L45" s="13"/>
      <c r="M45" s="13"/>
      <c r="N45" s="13"/>
      <c r="O45" s="13"/>
      <c r="P45" s="13"/>
      <c r="Q45" s="13"/>
    </row>
    <row r="46" spans="1:17" s="13" customFormat="1">
      <c r="A46" s="13"/>
      <c r="B46" s="13"/>
      <c r="C46" s="13"/>
      <c r="D46" s="13"/>
      <c r="E46" s="13"/>
      <c r="F46" s="13"/>
      <c r="G46" s="13"/>
      <c r="H46" s="13"/>
      <c r="I46" s="13"/>
      <c r="J46" s="13"/>
      <c r="K46" s="13"/>
      <c r="L46" s="13"/>
      <c r="M46" s="13"/>
      <c r="N46" s="13"/>
      <c r="O46" s="13"/>
      <c r="P46" s="13"/>
      <c r="Q46" s="13"/>
    </row>
    <row r="47" spans="1:17" s="13" customFormat="1">
      <c r="A47" s="13"/>
      <c r="B47" s="13"/>
      <c r="C47" s="13"/>
      <c r="D47" s="13"/>
      <c r="E47" s="13"/>
      <c r="F47" s="13"/>
      <c r="G47" s="13"/>
      <c r="H47" s="13"/>
      <c r="I47" s="13"/>
      <c r="J47" s="13"/>
      <c r="K47" s="13"/>
      <c r="L47" s="13"/>
      <c r="M47" s="13"/>
      <c r="N47" s="13"/>
      <c r="O47" s="13"/>
      <c r="P47" s="13"/>
      <c r="Q47" s="13"/>
    </row>
    <row r="48" spans="1:17" s="13" customFormat="1">
      <c r="A48" s="13"/>
      <c r="B48" s="13"/>
      <c r="C48" s="13"/>
      <c r="D48" s="13"/>
      <c r="E48" s="13"/>
      <c r="F48" s="13"/>
      <c r="G48" s="13"/>
      <c r="H48" s="13"/>
      <c r="I48" s="13"/>
      <c r="J48" s="13"/>
      <c r="K48" s="13"/>
      <c r="L48" s="13"/>
      <c r="M48" s="13"/>
      <c r="N48" s="13"/>
      <c r="O48" s="13"/>
      <c r="P48" s="13"/>
      <c r="Q48" s="13"/>
    </row>
    <row r="49" spans="1:17" s="13" customFormat="1">
      <c r="A49" s="13"/>
      <c r="B49" s="13"/>
      <c r="C49" s="13"/>
      <c r="D49" s="13"/>
      <c r="E49" s="13"/>
      <c r="F49" s="13"/>
      <c r="G49" s="13"/>
      <c r="H49" s="13"/>
      <c r="I49" s="13"/>
      <c r="J49" s="13"/>
      <c r="K49" s="13"/>
      <c r="L49" s="13"/>
      <c r="M49" s="13"/>
      <c r="N49" s="13"/>
      <c r="O49" s="13"/>
      <c r="P49" s="13"/>
      <c r="Q49" s="13"/>
    </row>
    <row r="50" spans="1:17" s="13" customFormat="1">
      <c r="A50" s="13"/>
      <c r="B50" s="13"/>
      <c r="C50" s="13"/>
      <c r="D50" s="13"/>
      <c r="E50" s="13"/>
      <c r="F50" s="13"/>
      <c r="G50" s="13"/>
      <c r="H50" s="13"/>
      <c r="I50" s="13"/>
      <c r="J50" s="13"/>
      <c r="K50" s="13"/>
      <c r="L50" s="13"/>
      <c r="M50" s="13"/>
      <c r="N50" s="13"/>
      <c r="O50" s="13"/>
      <c r="P50" s="13"/>
      <c r="Q50" s="13"/>
    </row>
    <row r="51" spans="1:17" s="13" customFormat="1">
      <c r="A51" s="13"/>
      <c r="B51" s="13"/>
      <c r="C51" s="13"/>
      <c r="D51" s="13"/>
      <c r="E51" s="13"/>
      <c r="F51" s="13"/>
      <c r="G51" s="13"/>
      <c r="H51" s="13"/>
      <c r="I51" s="13"/>
      <c r="J51" s="13"/>
      <c r="K51" s="13"/>
      <c r="L51" s="13"/>
      <c r="M51" s="13"/>
      <c r="N51" s="13"/>
      <c r="O51" s="13"/>
      <c r="P51" s="13"/>
      <c r="Q51" s="13"/>
    </row>
    <row r="52" spans="1:17" s="13" customFormat="1">
      <c r="A52" s="13"/>
      <c r="B52" s="13"/>
      <c r="C52" s="13"/>
      <c r="D52" s="13"/>
      <c r="E52" s="13"/>
      <c r="F52" s="13"/>
      <c r="G52" s="13"/>
      <c r="H52" s="13"/>
      <c r="I52" s="13"/>
      <c r="J52" s="13"/>
      <c r="K52" s="13"/>
      <c r="L52" s="13"/>
      <c r="M52" s="13"/>
      <c r="N52" s="13"/>
      <c r="O52" s="13"/>
      <c r="P52" s="13"/>
      <c r="Q52" s="13"/>
    </row>
    <row r="53" spans="1:17" s="13" customFormat="1">
      <c r="A53" s="13"/>
      <c r="B53" s="13"/>
      <c r="C53" s="13"/>
      <c r="D53" s="13"/>
      <c r="E53" s="13"/>
      <c r="F53" s="13"/>
      <c r="G53" s="13"/>
      <c r="H53" s="13"/>
      <c r="I53" s="13"/>
      <c r="J53" s="13"/>
      <c r="K53" s="13"/>
      <c r="L53" s="13"/>
      <c r="M53" s="13"/>
      <c r="N53" s="13"/>
      <c r="O53" s="13"/>
      <c r="P53" s="13"/>
      <c r="Q53" s="13"/>
    </row>
    <row r="54" spans="1:17" s="13" customFormat="1">
      <c r="A54" s="13"/>
      <c r="B54" s="13"/>
      <c r="C54" s="13"/>
      <c r="D54" s="13"/>
      <c r="E54" s="13"/>
      <c r="F54" s="13"/>
      <c r="G54" s="13"/>
      <c r="H54" s="13"/>
      <c r="I54" s="13"/>
      <c r="J54" s="13"/>
      <c r="K54" s="13"/>
      <c r="L54" s="13"/>
      <c r="M54" s="13"/>
      <c r="N54" s="13"/>
      <c r="O54" s="13"/>
      <c r="P54" s="13"/>
      <c r="Q54" s="13"/>
    </row>
    <row r="55" spans="1:17" s="13" customFormat="1">
      <c r="A55" s="13"/>
      <c r="B55" s="13"/>
      <c r="C55" s="13"/>
      <c r="D55" s="13"/>
      <c r="E55" s="13"/>
      <c r="F55" s="13"/>
      <c r="G55" s="13"/>
      <c r="H55" s="13"/>
      <c r="I55" s="13"/>
      <c r="J55" s="13"/>
      <c r="K55" s="13"/>
      <c r="L55" s="13"/>
      <c r="M55" s="13"/>
      <c r="N55" s="13"/>
      <c r="O55" s="13"/>
      <c r="P55" s="13"/>
      <c r="Q55" s="13"/>
    </row>
    <row r="56" spans="1:17" s="13" customFormat="1">
      <c r="A56" s="13"/>
      <c r="B56" s="13"/>
      <c r="C56" s="13"/>
      <c r="D56" s="13"/>
      <c r="E56" s="13"/>
      <c r="F56" s="13"/>
      <c r="G56" s="13"/>
      <c r="H56" s="13"/>
      <c r="I56" s="13"/>
      <c r="J56" s="13"/>
      <c r="K56" s="13"/>
      <c r="L56" s="13"/>
      <c r="M56" s="13"/>
      <c r="N56" s="13"/>
      <c r="O56" s="13"/>
      <c r="P56" s="13"/>
      <c r="Q56" s="13"/>
    </row>
    <row r="57" spans="1:17" s="13" customFormat="1">
      <c r="A57" s="13"/>
      <c r="B57" s="13"/>
      <c r="C57" s="13"/>
      <c r="D57" s="13"/>
      <c r="E57" s="13"/>
      <c r="F57" s="13"/>
      <c r="G57" s="13"/>
      <c r="H57" s="13"/>
      <c r="I57" s="13"/>
      <c r="J57" s="13"/>
      <c r="K57" s="13"/>
      <c r="L57" s="13"/>
      <c r="M57" s="13"/>
      <c r="N57" s="13"/>
      <c r="O57" s="13"/>
      <c r="P57" s="13"/>
      <c r="Q57" s="13"/>
    </row>
    <row r="58" spans="1:17" s="13" customFormat="1">
      <c r="A58" s="13"/>
      <c r="B58" s="13"/>
      <c r="C58" s="13"/>
      <c r="D58" s="13"/>
      <c r="E58" s="13"/>
      <c r="F58" s="13"/>
      <c r="G58" s="13"/>
      <c r="H58" s="13"/>
      <c r="I58" s="13"/>
      <c r="J58" s="13"/>
      <c r="K58" s="13"/>
      <c r="L58" s="13"/>
      <c r="M58" s="13"/>
      <c r="N58" s="13"/>
      <c r="O58" s="13"/>
      <c r="P58" s="13"/>
      <c r="Q58" s="13"/>
    </row>
    <row r="59" spans="1:17" s="13" customFormat="1">
      <c r="A59" s="13"/>
      <c r="B59" s="13"/>
      <c r="C59" s="13"/>
      <c r="D59" s="13"/>
      <c r="E59" s="13"/>
      <c r="F59" s="13"/>
      <c r="G59" s="13"/>
      <c r="H59" s="13"/>
      <c r="I59" s="13"/>
      <c r="J59" s="13"/>
      <c r="K59" s="13"/>
      <c r="L59" s="13"/>
      <c r="M59" s="13"/>
      <c r="N59" s="13"/>
      <c r="O59" s="13"/>
      <c r="P59" s="13"/>
      <c r="Q59" s="13"/>
    </row>
    <row r="60" spans="1:17" s="13" customFormat="1">
      <c r="A60" s="13"/>
      <c r="B60" s="13"/>
      <c r="C60" s="13"/>
      <c r="D60" s="13"/>
      <c r="E60" s="13"/>
      <c r="F60" s="13"/>
      <c r="G60" s="13"/>
      <c r="H60" s="13"/>
      <c r="I60" s="13"/>
      <c r="J60" s="13"/>
      <c r="K60" s="13"/>
      <c r="L60" s="13"/>
      <c r="M60" s="13"/>
      <c r="N60" s="13"/>
      <c r="O60" s="13"/>
      <c r="P60" s="13"/>
      <c r="Q60" s="13"/>
    </row>
  </sheetData>
  <mergeCells count="3">
    <mergeCell ref="B2:O2"/>
    <mergeCell ref="B3:O3"/>
    <mergeCell ref="B5:O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sheetPr>
    <tabColor rgb="FF22C55E"/>
  </sheetPr>
  <dimension ref="A1:Q60"/>
  <sheetViews>
    <sheetView showGridLines="0" zoomScale="90" zoomScaleNormal="90" workbookViewId="0"/>
  </sheetViews>
  <sheetFormatPr defaultRowHeight="15"/>
  <cols>
    <col min="1" max="1" width="2.7109375" customWidth="1"/>
    <col min="2" max="15" width="13.7109375" customWidth="1"/>
  </cols>
  <sheetData>
    <row r="1" spans="1:17" s="13" customFormat="1">
      <c r="A1" s="13"/>
      <c r="B1" s="13"/>
      <c r="C1" s="13"/>
      <c r="D1" s="13"/>
      <c r="E1" s="13"/>
      <c r="F1" s="13"/>
      <c r="G1" s="13"/>
      <c r="H1" s="13"/>
      <c r="I1" s="13"/>
      <c r="J1" s="13"/>
      <c r="K1" s="13"/>
      <c r="L1" s="13"/>
      <c r="M1" s="13"/>
      <c r="N1" s="13"/>
      <c r="O1" s="13"/>
      <c r="P1" s="13"/>
      <c r="Q1" s="13"/>
    </row>
    <row r="2" spans="1:17" ht="38" customHeight="1">
      <c r="A2" s="13"/>
      <c r="B2" s="14" t="s">
        <v>335</v>
      </c>
      <c r="C2" s="14"/>
      <c r="D2" s="14"/>
      <c r="E2" s="14"/>
      <c r="F2" s="14"/>
      <c r="G2" s="14"/>
      <c r="H2" s="14"/>
      <c r="I2" s="14"/>
      <c r="J2" s="14"/>
      <c r="K2" s="14"/>
      <c r="L2" s="14"/>
      <c r="M2" s="14"/>
      <c r="N2" s="14"/>
      <c r="O2" s="14"/>
      <c r="P2" s="13"/>
      <c r="Q2" s="13"/>
    </row>
    <row r="3" spans="1:17" ht="18" customHeight="1">
      <c r="A3" s="13"/>
      <c r="B3" s="15" t="s">
        <v>336</v>
      </c>
      <c r="C3" s="15"/>
      <c r="D3" s="15"/>
      <c r="E3" s="15"/>
      <c r="F3" s="15"/>
      <c r="G3" s="15"/>
      <c r="H3" s="15"/>
      <c r="I3" s="15"/>
      <c r="J3" s="15"/>
      <c r="K3" s="15"/>
      <c r="L3" s="15"/>
      <c r="M3" s="15"/>
      <c r="N3" s="15"/>
      <c r="O3" s="15"/>
      <c r="P3" s="13"/>
      <c r="Q3" s="13"/>
    </row>
    <row r="4" spans="1:17" s="13" customFormat="1">
      <c r="A4" s="13"/>
      <c r="B4" s="13"/>
      <c r="C4" s="13"/>
      <c r="D4" s="13"/>
      <c r="E4" s="13"/>
      <c r="F4" s="13"/>
      <c r="G4" s="13"/>
      <c r="H4" s="13"/>
      <c r="I4" s="13"/>
      <c r="J4" s="13"/>
      <c r="K4" s="13"/>
      <c r="L4" s="13"/>
      <c r="M4" s="13"/>
      <c r="N4" s="13"/>
      <c r="O4" s="13"/>
      <c r="P4" s="13"/>
      <c r="Q4" s="13"/>
    </row>
    <row r="5" spans="1:17" ht="22" customHeight="1">
      <c r="A5" s="13"/>
      <c r="B5" s="34" t="s">
        <v>337</v>
      </c>
      <c r="C5" s="34"/>
      <c r="D5" s="34"/>
      <c r="E5" s="34"/>
      <c r="F5" s="34"/>
      <c r="G5" s="34"/>
      <c r="H5" s="34"/>
      <c r="I5" s="34"/>
      <c r="J5" s="34"/>
      <c r="K5" s="34"/>
      <c r="L5" s="34"/>
      <c r="M5" s="34"/>
      <c r="N5" s="34"/>
      <c r="O5" s="34"/>
      <c r="P5" s="13"/>
      <c r="Q5" s="13"/>
    </row>
    <row r="6" spans="1:17" s="13" customFormat="1">
      <c r="A6" s="13"/>
      <c r="B6" s="13"/>
      <c r="C6" s="13"/>
      <c r="D6" s="13"/>
      <c r="E6" s="13"/>
      <c r="F6" s="13"/>
      <c r="G6" s="13"/>
      <c r="H6" s="13"/>
      <c r="I6" s="13"/>
      <c r="J6" s="13"/>
      <c r="K6" s="13"/>
      <c r="L6" s="13"/>
      <c r="M6" s="13"/>
      <c r="N6" s="13"/>
      <c r="O6" s="13"/>
      <c r="P6" s="13"/>
      <c r="Q6" s="13"/>
    </row>
    <row r="7" spans="1:17" s="13" customFormat="1">
      <c r="A7" s="13"/>
      <c r="B7" s="36" t="s">
        <v>9</v>
      </c>
      <c r="C7" s="36" t="s">
        <v>280</v>
      </c>
      <c r="D7" s="36" t="s">
        <v>36</v>
      </c>
      <c r="E7" s="36" t="s">
        <v>55</v>
      </c>
      <c r="F7" s="36" t="s">
        <v>282</v>
      </c>
      <c r="G7" s="13"/>
      <c r="H7" s="13"/>
      <c r="I7" s="13"/>
      <c r="J7" s="13"/>
      <c r="K7" s="13"/>
      <c r="L7" s="13"/>
      <c r="M7" s="13"/>
      <c r="N7" s="13"/>
      <c r="O7" s="13"/>
      <c r="P7" s="13"/>
      <c r="Q7" s="13"/>
    </row>
    <row r="8" spans="1:17" s="13" customFormat="1">
      <c r="A8" s="13"/>
      <c r="B8" s="37" t="s">
        <v>31</v>
      </c>
      <c r="C8" s="38">
        <v>47</v>
      </c>
      <c r="D8" s="38">
        <v>19</v>
      </c>
      <c r="E8" s="38">
        <v>28</v>
      </c>
      <c r="F8" s="38">
        <v>5</v>
      </c>
      <c r="G8" s="13"/>
      <c r="H8" s="13"/>
      <c r="I8" s="13"/>
      <c r="J8" s="13"/>
      <c r="K8" s="13"/>
      <c r="L8" s="13"/>
      <c r="M8" s="13"/>
      <c r="N8" s="13"/>
      <c r="O8" s="13"/>
      <c r="P8" s="13"/>
      <c r="Q8" s="13"/>
    </row>
    <row r="9" spans="1:17" s="13" customFormat="1">
      <c r="A9" s="13"/>
      <c r="B9" s="37" t="s">
        <v>152</v>
      </c>
      <c r="C9" s="38">
        <v>6</v>
      </c>
      <c r="D9" s="38">
        <v>1</v>
      </c>
      <c r="E9" s="38">
        <v>5</v>
      </c>
      <c r="F9" s="38">
        <v>1</v>
      </c>
      <c r="G9" s="13"/>
      <c r="H9" s="13"/>
      <c r="I9" s="13"/>
      <c r="J9" s="13"/>
      <c r="K9" s="13"/>
      <c r="L9" s="13"/>
      <c r="M9" s="13"/>
      <c r="N9" s="13"/>
      <c r="O9" s="13"/>
      <c r="P9" s="13"/>
      <c r="Q9" s="13"/>
    </row>
    <row r="10" spans="1:17" s="13" customFormat="1">
      <c r="A10" s="13"/>
      <c r="B10" s="37" t="s">
        <v>71</v>
      </c>
      <c r="C10" s="38">
        <v>5</v>
      </c>
      <c r="D10" s="38">
        <v>1</v>
      </c>
      <c r="E10" s="38">
        <v>4</v>
      </c>
      <c r="F10" s="38">
        <v>0</v>
      </c>
      <c r="G10" s="13"/>
      <c r="H10" s="13"/>
      <c r="I10" s="13"/>
      <c r="J10" s="13"/>
      <c r="K10" s="13"/>
      <c r="L10" s="13"/>
      <c r="M10" s="13"/>
      <c r="N10" s="13"/>
      <c r="O10" s="13"/>
      <c r="P10" s="13"/>
      <c r="Q10" s="13"/>
    </row>
    <row r="11" spans="1:17" s="13" customFormat="1">
      <c r="A11" s="13"/>
      <c r="B11" s="37" t="s">
        <v>173</v>
      </c>
      <c r="C11" s="38">
        <v>2</v>
      </c>
      <c r="D11" s="38">
        <v>0</v>
      </c>
      <c r="E11" s="38">
        <v>2</v>
      </c>
      <c r="F11" s="38">
        <v>0</v>
      </c>
      <c r="G11" s="13"/>
      <c r="H11" s="13"/>
      <c r="I11" s="13"/>
      <c r="J11" s="13"/>
      <c r="K11" s="13"/>
      <c r="L11" s="13"/>
      <c r="M11" s="13"/>
      <c r="N11" s="13"/>
      <c r="O11" s="13"/>
      <c r="P11" s="13"/>
      <c r="Q11" s="13"/>
    </row>
    <row r="12" spans="1:17" s="13" customFormat="1">
      <c r="A12" s="13"/>
      <c r="B12" s="37" t="s">
        <v>143</v>
      </c>
      <c r="C12" s="38">
        <v>1</v>
      </c>
      <c r="D12" s="38">
        <v>0</v>
      </c>
      <c r="E12" s="38">
        <v>1</v>
      </c>
      <c r="F12" s="38">
        <v>0</v>
      </c>
      <c r="G12" s="13"/>
      <c r="H12" s="13"/>
      <c r="I12" s="13"/>
      <c r="J12" s="13"/>
      <c r="K12" s="13"/>
      <c r="L12" s="13"/>
      <c r="M12" s="13"/>
      <c r="N12" s="13"/>
      <c r="O12" s="13"/>
      <c r="P12" s="13"/>
      <c r="Q12" s="13"/>
    </row>
    <row r="13" spans="1:17" s="13" customFormat="1">
      <c r="A13" s="13"/>
      <c r="B13" s="37" t="s">
        <v>164</v>
      </c>
      <c r="C13" s="38">
        <v>1</v>
      </c>
      <c r="D13" s="38">
        <v>1</v>
      </c>
      <c r="E13" s="38">
        <v>0</v>
      </c>
      <c r="F13" s="38">
        <v>1</v>
      </c>
      <c r="G13" s="13"/>
      <c r="H13" s="13"/>
      <c r="I13" s="13"/>
      <c r="J13" s="13"/>
      <c r="K13" s="13"/>
      <c r="L13" s="13"/>
      <c r="M13" s="13"/>
      <c r="N13" s="13"/>
      <c r="O13" s="13"/>
      <c r="P13" s="13"/>
      <c r="Q13" s="13"/>
    </row>
    <row r="14" spans="1:17" s="13" customFormat="1">
      <c r="A14" s="13"/>
      <c r="B14" s="13"/>
      <c r="C14" s="13"/>
      <c r="D14" s="13"/>
      <c r="E14" s="13"/>
      <c r="F14" s="13"/>
      <c r="G14" s="13"/>
      <c r="H14" s="13"/>
      <c r="I14" s="13"/>
      <c r="J14" s="13"/>
      <c r="K14" s="13"/>
      <c r="L14" s="13"/>
      <c r="M14" s="13"/>
      <c r="N14" s="13"/>
      <c r="O14" s="13"/>
      <c r="P14" s="13"/>
      <c r="Q14" s="13"/>
    </row>
    <row r="15" spans="1:17" s="13" customFormat="1">
      <c r="A15" s="13"/>
      <c r="B15" s="13"/>
      <c r="C15" s="13"/>
      <c r="D15" s="13"/>
      <c r="E15" s="13"/>
      <c r="F15" s="13"/>
      <c r="G15" s="13"/>
      <c r="H15" s="13"/>
      <c r="I15" s="13"/>
      <c r="J15" s="13"/>
      <c r="K15" s="13"/>
      <c r="L15" s="13"/>
      <c r="M15" s="13"/>
      <c r="N15" s="13"/>
      <c r="O15" s="13"/>
      <c r="P15" s="13"/>
      <c r="Q15" s="13"/>
    </row>
    <row r="16" spans="1:17" s="13" customFormat="1">
      <c r="A16" s="13"/>
      <c r="B16" s="13"/>
      <c r="C16" s="13"/>
      <c r="D16" s="13"/>
      <c r="E16" s="13"/>
      <c r="F16" s="13"/>
      <c r="G16" s="13"/>
      <c r="H16" s="13"/>
      <c r="I16" s="13"/>
      <c r="J16" s="13"/>
      <c r="K16" s="13"/>
      <c r="L16" s="13"/>
      <c r="M16" s="13"/>
      <c r="N16" s="13"/>
      <c r="O16" s="13"/>
      <c r="P16" s="13"/>
      <c r="Q16" s="13"/>
    </row>
    <row r="17" spans="1:17" s="13" customFormat="1">
      <c r="A17" s="13"/>
      <c r="B17" s="13"/>
      <c r="C17" s="13"/>
      <c r="D17" s="13"/>
      <c r="E17" s="13"/>
      <c r="F17" s="13"/>
      <c r="G17" s="13"/>
      <c r="H17" s="13"/>
      <c r="I17" s="13"/>
      <c r="J17" s="13"/>
      <c r="K17" s="13"/>
      <c r="L17" s="13"/>
      <c r="M17" s="13"/>
      <c r="N17" s="13"/>
      <c r="O17" s="13"/>
      <c r="P17" s="13"/>
      <c r="Q17" s="13"/>
    </row>
    <row r="18" spans="1:17" s="13" customFormat="1">
      <c r="A18" s="13"/>
      <c r="B18" s="13"/>
      <c r="C18" s="13"/>
      <c r="D18" s="13"/>
      <c r="E18" s="13"/>
      <c r="F18" s="13"/>
      <c r="G18" s="13"/>
      <c r="H18" s="13"/>
      <c r="I18" s="13"/>
      <c r="J18" s="13"/>
      <c r="K18" s="13"/>
      <c r="L18" s="13"/>
      <c r="M18" s="13"/>
      <c r="N18" s="13"/>
      <c r="O18" s="13"/>
      <c r="P18" s="13"/>
      <c r="Q18" s="13"/>
    </row>
    <row r="19" spans="1:17" s="13" customFormat="1">
      <c r="A19" s="13"/>
      <c r="B19" s="13"/>
      <c r="C19" s="13"/>
      <c r="D19" s="13"/>
      <c r="E19" s="13"/>
      <c r="F19" s="13"/>
      <c r="G19" s="13"/>
      <c r="H19" s="13"/>
      <c r="I19" s="13"/>
      <c r="J19" s="13"/>
      <c r="K19" s="13"/>
      <c r="L19" s="13"/>
      <c r="M19" s="13"/>
      <c r="N19" s="13"/>
      <c r="O19" s="13"/>
      <c r="P19" s="13"/>
      <c r="Q19" s="13"/>
    </row>
    <row r="20" spans="1:17" s="13" customFormat="1">
      <c r="A20" s="13"/>
      <c r="B20" s="13"/>
      <c r="C20" s="13"/>
      <c r="D20" s="13"/>
      <c r="E20" s="13"/>
      <c r="F20" s="13"/>
      <c r="G20" s="13"/>
      <c r="H20" s="13"/>
      <c r="I20" s="13"/>
      <c r="J20" s="13"/>
      <c r="K20" s="13"/>
      <c r="L20" s="13"/>
      <c r="M20" s="13"/>
      <c r="N20" s="13"/>
      <c r="O20" s="13"/>
      <c r="P20" s="13"/>
      <c r="Q20" s="13"/>
    </row>
    <row r="21" spans="1:17" s="13" customFormat="1">
      <c r="A21" s="13"/>
      <c r="B21" s="13"/>
      <c r="C21" s="13"/>
      <c r="D21" s="13"/>
      <c r="E21" s="13"/>
      <c r="F21" s="13"/>
      <c r="G21" s="13"/>
      <c r="H21" s="13"/>
      <c r="I21" s="13"/>
      <c r="J21" s="13"/>
      <c r="K21" s="13"/>
      <c r="L21" s="13"/>
      <c r="M21" s="13"/>
      <c r="N21" s="13"/>
      <c r="O21" s="13"/>
      <c r="P21" s="13"/>
      <c r="Q21" s="13"/>
    </row>
    <row r="22" spans="1:17" s="13" customFormat="1">
      <c r="A22" s="13"/>
      <c r="B22" s="13"/>
      <c r="C22" s="13"/>
      <c r="D22" s="13"/>
      <c r="E22" s="13"/>
      <c r="F22" s="13"/>
      <c r="G22" s="13"/>
      <c r="H22" s="13"/>
      <c r="I22" s="13"/>
      <c r="J22" s="13"/>
      <c r="K22" s="13"/>
      <c r="L22" s="13"/>
      <c r="M22" s="13"/>
      <c r="N22" s="13"/>
      <c r="O22" s="13"/>
      <c r="P22" s="13"/>
      <c r="Q22" s="13"/>
    </row>
    <row r="23" spans="1:17" s="13" customFormat="1">
      <c r="A23" s="13"/>
      <c r="B23" s="13"/>
      <c r="C23" s="13"/>
      <c r="D23" s="13"/>
      <c r="E23" s="13"/>
      <c r="F23" s="13"/>
      <c r="G23" s="13"/>
      <c r="H23" s="13"/>
      <c r="I23" s="13"/>
      <c r="J23" s="13"/>
      <c r="K23" s="13"/>
      <c r="L23" s="13"/>
      <c r="M23" s="13"/>
      <c r="N23" s="13"/>
      <c r="O23" s="13"/>
      <c r="P23" s="13"/>
      <c r="Q23" s="13"/>
    </row>
    <row r="24" spans="1:17" s="13" customFormat="1">
      <c r="A24" s="13"/>
      <c r="B24" s="13"/>
      <c r="C24" s="13"/>
      <c r="D24" s="13"/>
      <c r="E24" s="13"/>
      <c r="F24" s="13"/>
      <c r="G24" s="13"/>
      <c r="H24" s="13"/>
      <c r="I24" s="13"/>
      <c r="J24" s="13"/>
      <c r="K24" s="13"/>
      <c r="L24" s="13"/>
      <c r="M24" s="13"/>
      <c r="N24" s="13"/>
      <c r="O24" s="13"/>
      <c r="P24" s="13"/>
      <c r="Q24" s="13"/>
    </row>
    <row r="25" spans="1:17" s="13" customFormat="1">
      <c r="A25" s="13"/>
      <c r="B25" s="13"/>
      <c r="C25" s="13"/>
      <c r="D25" s="13"/>
      <c r="E25" s="13"/>
      <c r="F25" s="13"/>
      <c r="G25" s="13"/>
      <c r="H25" s="13"/>
      <c r="I25" s="13"/>
      <c r="J25" s="13"/>
      <c r="K25" s="13"/>
      <c r="L25" s="13"/>
      <c r="M25" s="13"/>
      <c r="N25" s="13"/>
      <c r="O25" s="13"/>
      <c r="P25" s="13"/>
      <c r="Q25" s="13"/>
    </row>
    <row r="26" spans="1:17" s="13" customFormat="1">
      <c r="A26" s="13"/>
      <c r="B26" s="13"/>
      <c r="C26" s="13"/>
      <c r="D26" s="13"/>
      <c r="E26" s="13"/>
      <c r="F26" s="13"/>
      <c r="G26" s="13"/>
      <c r="H26" s="13"/>
      <c r="I26" s="13"/>
      <c r="J26" s="13"/>
      <c r="K26" s="13"/>
      <c r="L26" s="13"/>
      <c r="M26" s="13"/>
      <c r="N26" s="13"/>
      <c r="O26" s="13"/>
      <c r="P26" s="13"/>
      <c r="Q26" s="13"/>
    </row>
    <row r="27" spans="1:17" s="13" customFormat="1">
      <c r="A27" s="13"/>
      <c r="B27" s="13"/>
      <c r="C27" s="13"/>
      <c r="D27" s="13"/>
      <c r="E27" s="13"/>
      <c r="F27" s="13"/>
      <c r="G27" s="13"/>
      <c r="H27" s="13"/>
      <c r="I27" s="13"/>
      <c r="J27" s="13"/>
      <c r="K27" s="13"/>
      <c r="L27" s="13"/>
      <c r="M27" s="13"/>
      <c r="N27" s="13"/>
      <c r="O27" s="13"/>
      <c r="P27" s="13"/>
      <c r="Q27" s="13"/>
    </row>
    <row r="28" spans="1:17" s="13" customFormat="1">
      <c r="A28" s="13"/>
      <c r="B28" s="13"/>
      <c r="C28" s="13"/>
      <c r="D28" s="13"/>
      <c r="E28" s="13"/>
      <c r="F28" s="13"/>
      <c r="G28" s="13"/>
      <c r="H28" s="13"/>
      <c r="I28" s="13"/>
      <c r="J28" s="13"/>
      <c r="K28" s="13"/>
      <c r="L28" s="13"/>
      <c r="M28" s="13"/>
      <c r="N28" s="13"/>
      <c r="O28" s="13"/>
      <c r="P28" s="13"/>
      <c r="Q28" s="13"/>
    </row>
    <row r="29" spans="1:17" s="13" customFormat="1">
      <c r="A29" s="13"/>
      <c r="B29" s="13"/>
      <c r="C29" s="13"/>
      <c r="D29" s="13"/>
      <c r="E29" s="13"/>
      <c r="F29" s="13"/>
      <c r="G29" s="13"/>
      <c r="H29" s="13"/>
      <c r="I29" s="13"/>
      <c r="J29" s="13"/>
      <c r="K29" s="13"/>
      <c r="L29" s="13"/>
      <c r="M29" s="13"/>
      <c r="N29" s="13"/>
      <c r="O29" s="13"/>
      <c r="P29" s="13"/>
      <c r="Q29" s="13"/>
    </row>
    <row r="30" spans="1:17" s="13" customFormat="1">
      <c r="A30" s="13"/>
      <c r="B30" s="13"/>
      <c r="C30" s="13"/>
      <c r="D30" s="13"/>
      <c r="E30" s="13"/>
      <c r="F30" s="13"/>
      <c r="G30" s="13"/>
      <c r="H30" s="13"/>
      <c r="I30" s="13"/>
      <c r="J30" s="13"/>
      <c r="K30" s="13"/>
      <c r="L30" s="13"/>
      <c r="M30" s="13"/>
      <c r="N30" s="13"/>
      <c r="O30" s="13"/>
      <c r="P30" s="13"/>
      <c r="Q30" s="13"/>
    </row>
    <row r="31" spans="1:17" s="13" customFormat="1">
      <c r="A31" s="13"/>
      <c r="B31" s="13"/>
      <c r="C31" s="13"/>
      <c r="D31" s="13"/>
      <c r="E31" s="13"/>
      <c r="F31" s="13"/>
      <c r="G31" s="13"/>
      <c r="H31" s="13"/>
      <c r="I31" s="13"/>
      <c r="J31" s="13"/>
      <c r="K31" s="13"/>
      <c r="L31" s="13"/>
      <c r="M31" s="13"/>
      <c r="N31" s="13"/>
      <c r="O31" s="13"/>
      <c r="P31" s="13"/>
      <c r="Q31" s="13"/>
    </row>
    <row r="32" spans="1:17" s="13" customFormat="1">
      <c r="A32" s="13"/>
      <c r="B32" s="13"/>
      <c r="C32" s="13"/>
      <c r="D32" s="13"/>
      <c r="E32" s="13"/>
      <c r="F32" s="13"/>
      <c r="G32" s="13"/>
      <c r="H32" s="13"/>
      <c r="I32" s="13"/>
      <c r="J32" s="13"/>
      <c r="K32" s="13"/>
      <c r="L32" s="13"/>
      <c r="M32" s="13"/>
      <c r="N32" s="13"/>
      <c r="O32" s="13"/>
      <c r="P32" s="13"/>
      <c r="Q32" s="13"/>
    </row>
    <row r="33" spans="1:17" s="13" customFormat="1">
      <c r="A33" s="13"/>
      <c r="B33" s="13"/>
      <c r="C33" s="13"/>
      <c r="D33" s="13"/>
      <c r="E33" s="13"/>
      <c r="F33" s="13"/>
      <c r="G33" s="13"/>
      <c r="H33" s="13"/>
      <c r="I33" s="13"/>
      <c r="J33" s="13"/>
      <c r="K33" s="13"/>
      <c r="L33" s="13"/>
      <c r="M33" s="13"/>
      <c r="N33" s="13"/>
      <c r="O33" s="13"/>
      <c r="P33" s="13"/>
      <c r="Q33" s="13"/>
    </row>
    <row r="34" spans="1:17" s="13" customFormat="1">
      <c r="A34" s="13"/>
      <c r="B34" s="13"/>
      <c r="C34" s="13"/>
      <c r="D34" s="13"/>
      <c r="E34" s="13"/>
      <c r="F34" s="13"/>
      <c r="G34" s="13"/>
      <c r="H34" s="13"/>
      <c r="I34" s="13"/>
      <c r="J34" s="13"/>
      <c r="K34" s="13"/>
      <c r="L34" s="13"/>
      <c r="M34" s="13"/>
      <c r="N34" s="13"/>
      <c r="O34" s="13"/>
      <c r="P34" s="13"/>
      <c r="Q34" s="13"/>
    </row>
    <row r="35" spans="1:17" s="13" customFormat="1">
      <c r="A35" s="13"/>
      <c r="B35" s="13"/>
      <c r="C35" s="13"/>
      <c r="D35" s="13"/>
      <c r="E35" s="13"/>
      <c r="F35" s="13"/>
      <c r="G35" s="13"/>
      <c r="H35" s="13"/>
      <c r="I35" s="13"/>
      <c r="J35" s="13"/>
      <c r="K35" s="13"/>
      <c r="L35" s="13"/>
      <c r="M35" s="13"/>
      <c r="N35" s="13"/>
      <c r="O35" s="13"/>
      <c r="P35" s="13"/>
      <c r="Q35" s="13"/>
    </row>
    <row r="36" spans="1:17" s="13" customFormat="1">
      <c r="A36" s="13"/>
      <c r="B36" s="13"/>
      <c r="C36" s="13"/>
      <c r="D36" s="13"/>
      <c r="E36" s="13"/>
      <c r="F36" s="13"/>
      <c r="G36" s="13"/>
      <c r="H36" s="13"/>
      <c r="I36" s="13"/>
      <c r="J36" s="13"/>
      <c r="K36" s="13"/>
      <c r="L36" s="13"/>
      <c r="M36" s="13"/>
      <c r="N36" s="13"/>
      <c r="O36" s="13"/>
      <c r="P36" s="13"/>
      <c r="Q36" s="13"/>
    </row>
    <row r="37" spans="1:17" s="13" customFormat="1">
      <c r="A37" s="13"/>
      <c r="B37" s="13"/>
      <c r="C37" s="13"/>
      <c r="D37" s="13"/>
      <c r="E37" s="13"/>
      <c r="F37" s="13"/>
      <c r="G37" s="13"/>
      <c r="H37" s="13"/>
      <c r="I37" s="13"/>
      <c r="J37" s="13"/>
      <c r="K37" s="13"/>
      <c r="L37" s="13"/>
      <c r="M37" s="13"/>
      <c r="N37" s="13"/>
      <c r="O37" s="13"/>
      <c r="P37" s="13"/>
      <c r="Q37" s="13"/>
    </row>
    <row r="38" spans="1:17" s="13" customFormat="1">
      <c r="A38" s="13"/>
      <c r="B38" s="13"/>
      <c r="C38" s="13"/>
      <c r="D38" s="13"/>
      <c r="E38" s="13"/>
      <c r="F38" s="13"/>
      <c r="G38" s="13"/>
      <c r="H38" s="13"/>
      <c r="I38" s="13"/>
      <c r="J38" s="13"/>
      <c r="K38" s="13"/>
      <c r="L38" s="13"/>
      <c r="M38" s="13"/>
      <c r="N38" s="13"/>
      <c r="O38" s="13"/>
      <c r="P38" s="13"/>
      <c r="Q38" s="13"/>
    </row>
    <row r="39" spans="1:17" s="13" customFormat="1">
      <c r="A39" s="13"/>
      <c r="B39" s="13"/>
      <c r="C39" s="13"/>
      <c r="D39" s="13"/>
      <c r="E39" s="13"/>
      <c r="F39" s="13"/>
      <c r="G39" s="13"/>
      <c r="H39" s="13"/>
      <c r="I39" s="13"/>
      <c r="J39" s="13"/>
      <c r="K39" s="13"/>
      <c r="L39" s="13"/>
      <c r="M39" s="13"/>
      <c r="N39" s="13"/>
      <c r="O39" s="13"/>
      <c r="P39" s="13"/>
      <c r="Q39" s="13"/>
    </row>
    <row r="40" spans="1:17" s="13" customFormat="1">
      <c r="A40" s="13"/>
      <c r="B40" s="13"/>
      <c r="C40" s="13"/>
      <c r="D40" s="13"/>
      <c r="E40" s="13"/>
      <c r="F40" s="13"/>
      <c r="G40" s="13"/>
      <c r="H40" s="13"/>
      <c r="I40" s="13"/>
      <c r="J40" s="13"/>
      <c r="K40" s="13"/>
      <c r="L40" s="13"/>
      <c r="M40" s="13"/>
      <c r="N40" s="13"/>
      <c r="O40" s="13"/>
      <c r="P40" s="13"/>
      <c r="Q40" s="13"/>
    </row>
    <row r="41" spans="1:17" s="13" customFormat="1">
      <c r="A41" s="13"/>
      <c r="B41" s="13"/>
      <c r="C41" s="13"/>
      <c r="D41" s="13"/>
      <c r="E41" s="13"/>
      <c r="F41" s="13"/>
      <c r="G41" s="13"/>
      <c r="H41" s="13"/>
      <c r="I41" s="13"/>
      <c r="J41" s="13"/>
      <c r="K41" s="13"/>
      <c r="L41" s="13"/>
      <c r="M41" s="13"/>
      <c r="N41" s="13"/>
      <c r="O41" s="13"/>
      <c r="P41" s="13"/>
      <c r="Q41" s="13"/>
    </row>
    <row r="42" spans="1:17" s="13" customFormat="1">
      <c r="A42" s="13"/>
      <c r="B42" s="13"/>
      <c r="C42" s="13"/>
      <c r="D42" s="13"/>
      <c r="E42" s="13"/>
      <c r="F42" s="13"/>
      <c r="G42" s="13"/>
      <c r="H42" s="13"/>
      <c r="I42" s="13"/>
      <c r="J42" s="13"/>
      <c r="K42" s="13"/>
      <c r="L42" s="13"/>
      <c r="M42" s="13"/>
      <c r="N42" s="13"/>
      <c r="O42" s="13"/>
      <c r="P42" s="13"/>
      <c r="Q42" s="13"/>
    </row>
    <row r="43" spans="1:17" s="13" customFormat="1">
      <c r="A43" s="13"/>
      <c r="B43" s="13"/>
      <c r="C43" s="13"/>
      <c r="D43" s="13"/>
      <c r="E43" s="13"/>
      <c r="F43" s="13"/>
      <c r="G43" s="13"/>
      <c r="H43" s="13"/>
      <c r="I43" s="13"/>
      <c r="J43" s="13"/>
      <c r="K43" s="13"/>
      <c r="L43" s="13"/>
      <c r="M43" s="13"/>
      <c r="N43" s="13"/>
      <c r="O43" s="13"/>
      <c r="P43" s="13"/>
      <c r="Q43" s="13"/>
    </row>
    <row r="44" spans="1:17" s="13" customFormat="1">
      <c r="A44" s="13"/>
      <c r="B44" s="13"/>
      <c r="C44" s="13"/>
      <c r="D44" s="13"/>
      <c r="E44" s="13"/>
      <c r="F44" s="13"/>
      <c r="G44" s="13"/>
      <c r="H44" s="13"/>
      <c r="I44" s="13"/>
      <c r="J44" s="13"/>
      <c r="K44" s="13"/>
      <c r="L44" s="13"/>
      <c r="M44" s="13"/>
      <c r="N44" s="13"/>
      <c r="O44" s="13"/>
      <c r="P44" s="13"/>
      <c r="Q44" s="13"/>
    </row>
    <row r="45" spans="1:17" s="13" customFormat="1">
      <c r="A45" s="13"/>
      <c r="B45" s="13"/>
      <c r="C45" s="13"/>
      <c r="D45" s="13"/>
      <c r="E45" s="13"/>
      <c r="F45" s="13"/>
      <c r="G45" s="13"/>
      <c r="H45" s="13"/>
      <c r="I45" s="13"/>
      <c r="J45" s="13"/>
      <c r="K45" s="13"/>
      <c r="L45" s="13"/>
      <c r="M45" s="13"/>
      <c r="N45" s="13"/>
      <c r="O45" s="13"/>
      <c r="P45" s="13"/>
      <c r="Q45" s="13"/>
    </row>
    <row r="46" spans="1:17" s="13" customFormat="1">
      <c r="A46" s="13"/>
      <c r="B46" s="13"/>
      <c r="C46" s="13"/>
      <c r="D46" s="13"/>
      <c r="E46" s="13"/>
      <c r="F46" s="13"/>
      <c r="G46" s="13"/>
      <c r="H46" s="13"/>
      <c r="I46" s="13"/>
      <c r="J46" s="13"/>
      <c r="K46" s="13"/>
      <c r="L46" s="13"/>
      <c r="M46" s="13"/>
      <c r="N46" s="13"/>
      <c r="O46" s="13"/>
      <c r="P46" s="13"/>
      <c r="Q46" s="13"/>
    </row>
    <row r="47" spans="1:17" s="13" customFormat="1">
      <c r="A47" s="13"/>
      <c r="B47" s="13"/>
      <c r="C47" s="13"/>
      <c r="D47" s="13"/>
      <c r="E47" s="13"/>
      <c r="F47" s="13"/>
      <c r="G47" s="13"/>
      <c r="H47" s="13"/>
      <c r="I47" s="13"/>
      <c r="J47" s="13"/>
      <c r="K47" s="13"/>
      <c r="L47" s="13"/>
      <c r="M47" s="13"/>
      <c r="N47" s="13"/>
      <c r="O47" s="13"/>
      <c r="P47" s="13"/>
      <c r="Q47" s="13"/>
    </row>
    <row r="48" spans="1:17" s="13" customFormat="1">
      <c r="A48" s="13"/>
      <c r="B48" s="13"/>
      <c r="C48" s="13"/>
      <c r="D48" s="13"/>
      <c r="E48" s="13"/>
      <c r="F48" s="13"/>
      <c r="G48" s="13"/>
      <c r="H48" s="13"/>
      <c r="I48" s="13"/>
      <c r="J48" s="13"/>
      <c r="K48" s="13"/>
      <c r="L48" s="13"/>
      <c r="M48" s="13"/>
      <c r="N48" s="13"/>
      <c r="O48" s="13"/>
      <c r="P48" s="13"/>
      <c r="Q48" s="13"/>
    </row>
    <row r="49" spans="1:17" s="13" customFormat="1">
      <c r="A49" s="13"/>
      <c r="B49" s="13"/>
      <c r="C49" s="13"/>
      <c r="D49" s="13"/>
      <c r="E49" s="13"/>
      <c r="F49" s="13"/>
      <c r="G49" s="13"/>
      <c r="H49" s="13"/>
      <c r="I49" s="13"/>
      <c r="J49" s="13"/>
      <c r="K49" s="13"/>
      <c r="L49" s="13"/>
      <c r="M49" s="13"/>
      <c r="N49" s="13"/>
      <c r="O49" s="13"/>
      <c r="P49" s="13"/>
      <c r="Q49" s="13"/>
    </row>
    <row r="50" spans="1:17" s="13" customFormat="1">
      <c r="A50" s="13"/>
      <c r="B50" s="13"/>
      <c r="C50" s="13"/>
      <c r="D50" s="13"/>
      <c r="E50" s="13"/>
      <c r="F50" s="13"/>
      <c r="G50" s="13"/>
      <c r="H50" s="13"/>
      <c r="I50" s="13"/>
      <c r="J50" s="13"/>
      <c r="K50" s="13"/>
      <c r="L50" s="13"/>
      <c r="M50" s="13"/>
      <c r="N50" s="13"/>
      <c r="O50" s="13"/>
      <c r="P50" s="13"/>
      <c r="Q50" s="13"/>
    </row>
    <row r="51" spans="1:17" s="13" customFormat="1">
      <c r="A51" s="13"/>
      <c r="B51" s="13"/>
      <c r="C51" s="13"/>
      <c r="D51" s="13"/>
      <c r="E51" s="13"/>
      <c r="F51" s="13"/>
      <c r="G51" s="13"/>
      <c r="H51" s="13"/>
      <c r="I51" s="13"/>
      <c r="J51" s="13"/>
      <c r="K51" s="13"/>
      <c r="L51" s="13"/>
      <c r="M51" s="13"/>
      <c r="N51" s="13"/>
      <c r="O51" s="13"/>
      <c r="P51" s="13"/>
      <c r="Q51" s="13"/>
    </row>
    <row r="52" spans="1:17" s="13" customFormat="1">
      <c r="A52" s="13"/>
      <c r="B52" s="13"/>
      <c r="C52" s="13"/>
      <c r="D52" s="13"/>
      <c r="E52" s="13"/>
      <c r="F52" s="13"/>
      <c r="G52" s="13"/>
      <c r="H52" s="13"/>
      <c r="I52" s="13"/>
      <c r="J52" s="13"/>
      <c r="K52" s="13"/>
      <c r="L52" s="13"/>
      <c r="M52" s="13"/>
      <c r="N52" s="13"/>
      <c r="O52" s="13"/>
      <c r="P52" s="13"/>
      <c r="Q52" s="13"/>
    </row>
    <row r="53" spans="1:17" s="13" customFormat="1">
      <c r="A53" s="13"/>
      <c r="B53" s="13"/>
      <c r="C53" s="13"/>
      <c r="D53" s="13"/>
      <c r="E53" s="13"/>
      <c r="F53" s="13"/>
      <c r="G53" s="13"/>
      <c r="H53" s="13"/>
      <c r="I53" s="13"/>
      <c r="J53" s="13"/>
      <c r="K53" s="13"/>
      <c r="L53" s="13"/>
      <c r="M53" s="13"/>
      <c r="N53" s="13"/>
      <c r="O53" s="13"/>
      <c r="P53" s="13"/>
      <c r="Q53" s="13"/>
    </row>
    <row r="54" spans="1:17" s="13" customFormat="1">
      <c r="A54" s="13"/>
      <c r="B54" s="13"/>
      <c r="C54" s="13"/>
      <c r="D54" s="13"/>
      <c r="E54" s="13"/>
      <c r="F54" s="13"/>
      <c r="G54" s="13"/>
      <c r="H54" s="13"/>
      <c r="I54" s="13"/>
      <c r="J54" s="13"/>
      <c r="K54" s="13"/>
      <c r="L54" s="13"/>
      <c r="M54" s="13"/>
      <c r="N54" s="13"/>
      <c r="O54" s="13"/>
      <c r="P54" s="13"/>
      <c r="Q54" s="13"/>
    </row>
    <row r="55" spans="1:17" s="13" customFormat="1">
      <c r="A55" s="13"/>
      <c r="B55" s="13"/>
      <c r="C55" s="13"/>
      <c r="D55" s="13"/>
      <c r="E55" s="13"/>
      <c r="F55" s="13"/>
      <c r="G55" s="13"/>
      <c r="H55" s="13"/>
      <c r="I55" s="13"/>
      <c r="J55" s="13"/>
      <c r="K55" s="13"/>
      <c r="L55" s="13"/>
      <c r="M55" s="13"/>
      <c r="N55" s="13"/>
      <c r="O55" s="13"/>
      <c r="P55" s="13"/>
      <c r="Q55" s="13"/>
    </row>
    <row r="56" spans="1:17" s="13" customFormat="1">
      <c r="A56" s="13"/>
      <c r="B56" s="13"/>
      <c r="C56" s="13"/>
      <c r="D56" s="13"/>
      <c r="E56" s="13"/>
      <c r="F56" s="13"/>
      <c r="G56" s="13"/>
      <c r="H56" s="13"/>
      <c r="I56" s="13"/>
      <c r="J56" s="13"/>
      <c r="K56" s="13"/>
      <c r="L56" s="13"/>
      <c r="M56" s="13"/>
      <c r="N56" s="13"/>
      <c r="O56" s="13"/>
      <c r="P56" s="13"/>
      <c r="Q56" s="13"/>
    </row>
    <row r="57" spans="1:17" s="13" customFormat="1">
      <c r="A57" s="13"/>
      <c r="B57" s="13"/>
      <c r="C57" s="13"/>
      <c r="D57" s="13"/>
      <c r="E57" s="13"/>
      <c r="F57" s="13"/>
      <c r="G57" s="13"/>
      <c r="H57" s="13"/>
      <c r="I57" s="13"/>
      <c r="J57" s="13"/>
      <c r="K57" s="13"/>
      <c r="L57" s="13"/>
      <c r="M57" s="13"/>
      <c r="N57" s="13"/>
      <c r="O57" s="13"/>
      <c r="P57" s="13"/>
      <c r="Q57" s="13"/>
    </row>
    <row r="58" spans="1:17" s="13" customFormat="1">
      <c r="A58" s="13"/>
      <c r="B58" s="13"/>
      <c r="C58" s="13"/>
      <c r="D58" s="13"/>
      <c r="E58" s="13"/>
      <c r="F58" s="13"/>
      <c r="G58" s="13"/>
      <c r="H58" s="13"/>
      <c r="I58" s="13"/>
      <c r="J58" s="13"/>
      <c r="K58" s="13"/>
      <c r="L58" s="13"/>
      <c r="M58" s="13"/>
      <c r="N58" s="13"/>
      <c r="O58" s="13"/>
      <c r="P58" s="13"/>
      <c r="Q58" s="13"/>
    </row>
    <row r="59" spans="1:17" s="13" customFormat="1">
      <c r="A59" s="13"/>
      <c r="B59" s="13"/>
      <c r="C59" s="13"/>
      <c r="D59" s="13"/>
      <c r="E59" s="13"/>
      <c r="F59" s="13"/>
      <c r="G59" s="13"/>
      <c r="H59" s="13"/>
      <c r="I59" s="13"/>
      <c r="J59" s="13"/>
      <c r="K59" s="13"/>
      <c r="L59" s="13"/>
      <c r="M59" s="13"/>
      <c r="N59" s="13"/>
      <c r="O59" s="13"/>
      <c r="P59" s="13"/>
      <c r="Q59" s="13"/>
    </row>
    <row r="60" spans="1:17" s="13" customFormat="1">
      <c r="A60" s="13"/>
      <c r="B60" s="13"/>
      <c r="C60" s="13"/>
      <c r="D60" s="13"/>
      <c r="E60" s="13"/>
      <c r="F60" s="13"/>
      <c r="G60" s="13"/>
      <c r="H60" s="13"/>
      <c r="I60" s="13"/>
      <c r="J60" s="13"/>
      <c r="K60" s="13"/>
      <c r="L60" s="13"/>
      <c r="M60" s="13"/>
      <c r="N60" s="13"/>
      <c r="O60" s="13"/>
      <c r="P60" s="13"/>
      <c r="Q60" s="13"/>
    </row>
  </sheetData>
  <mergeCells count="3">
    <mergeCell ref="B2:O2"/>
    <mergeCell ref="B3:O3"/>
    <mergeCell ref="B5: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sheetPr>
    <tabColor rgb="FFF59E0B"/>
  </sheetPr>
  <dimension ref="A1:Q60"/>
  <sheetViews>
    <sheetView showGridLines="0" zoomScale="90" zoomScaleNormal="90" workbookViewId="0"/>
  </sheetViews>
  <sheetFormatPr defaultRowHeight="15"/>
  <cols>
    <col min="1" max="1" width="2.7109375" customWidth="1"/>
    <col min="2" max="2" width="13.7109375" customWidth="1"/>
    <col min="3" max="3" width="32.7109375" customWidth="1"/>
    <col min="4" max="15" width="13.7109375" customWidth="1"/>
  </cols>
  <sheetData>
    <row r="1" spans="1:17" s="13" customFormat="1">
      <c r="A1" s="13"/>
      <c r="B1" s="13"/>
      <c r="C1" s="13"/>
      <c r="D1" s="13"/>
      <c r="E1" s="13"/>
      <c r="F1" s="13"/>
      <c r="G1" s="13"/>
      <c r="H1" s="13"/>
      <c r="I1" s="13"/>
      <c r="J1" s="13"/>
      <c r="K1" s="13"/>
      <c r="L1" s="13"/>
      <c r="M1" s="13"/>
      <c r="N1" s="13"/>
      <c r="O1" s="13"/>
      <c r="P1" s="13"/>
      <c r="Q1" s="13"/>
    </row>
    <row r="2" spans="1:17" ht="38" customHeight="1">
      <c r="A2" s="13"/>
      <c r="B2" s="14" t="s">
        <v>338</v>
      </c>
      <c r="C2" s="14"/>
      <c r="D2" s="14"/>
      <c r="E2" s="14"/>
      <c r="F2" s="14"/>
      <c r="G2" s="14"/>
      <c r="H2" s="14"/>
      <c r="I2" s="14"/>
      <c r="J2" s="14"/>
      <c r="K2" s="14"/>
      <c r="L2" s="14"/>
      <c r="M2" s="14"/>
      <c r="N2" s="14"/>
      <c r="O2" s="14"/>
      <c r="P2" s="13"/>
      <c r="Q2" s="13"/>
    </row>
    <row r="3" spans="1:17" ht="18" customHeight="1">
      <c r="A3" s="13"/>
      <c r="B3" s="15" t="s">
        <v>339</v>
      </c>
      <c r="C3" s="15"/>
      <c r="D3" s="15"/>
      <c r="E3" s="15"/>
      <c r="F3" s="15"/>
      <c r="G3" s="15"/>
      <c r="H3" s="15"/>
      <c r="I3" s="15"/>
      <c r="J3" s="15"/>
      <c r="K3" s="15"/>
      <c r="L3" s="15"/>
      <c r="M3" s="15"/>
      <c r="N3" s="15"/>
      <c r="O3" s="15"/>
      <c r="P3" s="13"/>
      <c r="Q3" s="13"/>
    </row>
    <row r="4" spans="1:17" s="13" customFormat="1">
      <c r="A4" s="13"/>
      <c r="B4" s="13"/>
      <c r="C4" s="13"/>
      <c r="D4" s="13"/>
      <c r="E4" s="13"/>
      <c r="F4" s="13"/>
      <c r="G4" s="13"/>
      <c r="H4" s="13"/>
      <c r="I4" s="13"/>
      <c r="J4" s="13"/>
      <c r="K4" s="13"/>
      <c r="L4" s="13"/>
      <c r="M4" s="13"/>
      <c r="N4" s="13"/>
      <c r="O4" s="13"/>
      <c r="P4" s="13"/>
      <c r="Q4" s="13"/>
    </row>
    <row r="5" spans="1:17" ht="22" customHeight="1">
      <c r="A5" s="13"/>
      <c r="B5" s="34" t="s">
        <v>340</v>
      </c>
      <c r="C5" s="34"/>
      <c r="D5" s="34"/>
      <c r="E5" s="34"/>
      <c r="F5" s="34"/>
      <c r="G5" s="34"/>
      <c r="H5" s="34"/>
      <c r="I5" s="34"/>
      <c r="J5" s="34"/>
      <c r="K5" s="34"/>
      <c r="L5" s="34"/>
      <c r="M5" s="34"/>
      <c r="N5" s="34"/>
      <c r="O5" s="34"/>
      <c r="P5" s="13"/>
      <c r="Q5" s="13"/>
    </row>
    <row r="6" spans="1:17" s="13" customFormat="1">
      <c r="A6" s="13"/>
      <c r="B6" s="13"/>
      <c r="C6" s="13"/>
      <c r="D6" s="13"/>
      <c r="E6" s="13"/>
      <c r="F6" s="13"/>
      <c r="G6" s="13"/>
      <c r="H6" s="13"/>
      <c r="I6" s="13"/>
      <c r="J6" s="13"/>
      <c r="K6" s="13"/>
      <c r="L6" s="13"/>
      <c r="M6" s="13"/>
      <c r="N6" s="13"/>
      <c r="O6" s="13"/>
      <c r="P6" s="13"/>
      <c r="Q6" s="13"/>
    </row>
    <row r="7" spans="1:17" s="13" customFormat="1">
      <c r="A7" s="13"/>
      <c r="B7" s="36" t="s">
        <v>288</v>
      </c>
      <c r="C7" s="36" t="s">
        <v>284</v>
      </c>
      <c r="D7" s="36" t="s">
        <v>341</v>
      </c>
      <c r="E7" s="36" t="s">
        <v>13</v>
      </c>
      <c r="F7" s="13"/>
      <c r="G7" s="13"/>
      <c r="H7" s="13"/>
      <c r="I7" s="13"/>
      <c r="J7" s="13"/>
      <c r="K7" s="13"/>
      <c r="L7" s="13"/>
      <c r="M7" s="13"/>
      <c r="N7" s="13"/>
      <c r="O7" s="13"/>
      <c r="P7" s="13"/>
      <c r="Q7" s="13"/>
    </row>
    <row r="8" spans="1:17" s="13" customFormat="1">
      <c r="A8" s="13"/>
      <c r="B8" s="37" t="s">
        <v>37</v>
      </c>
      <c r="C8" s="38">
        <v>38</v>
      </c>
      <c r="D8" s="39">
        <v>0.6129032258064516</v>
      </c>
      <c r="E8" s="37" t="s">
        <v>342</v>
      </c>
      <c r="F8" s="13"/>
      <c r="G8" s="13"/>
      <c r="H8" s="13"/>
      <c r="I8" s="13"/>
      <c r="J8" s="13"/>
      <c r="K8" s="13"/>
      <c r="L8" s="13"/>
      <c r="M8" s="13"/>
      <c r="N8" s="13"/>
      <c r="O8" s="13"/>
      <c r="P8" s="13"/>
      <c r="Q8" s="13"/>
    </row>
    <row r="9" spans="1:17" s="13" customFormat="1">
      <c r="A9" s="13"/>
      <c r="B9" s="37" t="s">
        <v>74</v>
      </c>
      <c r="C9" s="38">
        <v>21</v>
      </c>
      <c r="D9" s="39">
        <v>0.3387096774193548</v>
      </c>
      <c r="E9" s="37" t="s">
        <v>343</v>
      </c>
      <c r="F9" s="13"/>
      <c r="G9" s="13"/>
      <c r="H9" s="13"/>
      <c r="I9" s="13"/>
      <c r="J9" s="13"/>
      <c r="K9" s="13"/>
      <c r="L9" s="13"/>
      <c r="M9" s="13"/>
      <c r="N9" s="13"/>
      <c r="O9" s="13"/>
      <c r="P9" s="13"/>
      <c r="Q9" s="13"/>
    </row>
    <row r="10" spans="1:17" s="13" customFormat="1">
      <c r="A10" s="13"/>
      <c r="B10" s="37" t="s">
        <v>242</v>
      </c>
      <c r="C10" s="38">
        <v>3</v>
      </c>
      <c r="D10" s="39">
        <v>0.04838709677419355</v>
      </c>
      <c r="E10" s="37" t="s">
        <v>344</v>
      </c>
      <c r="F10" s="13"/>
      <c r="G10" s="13"/>
      <c r="H10" s="13"/>
      <c r="I10" s="13"/>
      <c r="J10" s="13"/>
      <c r="K10" s="13"/>
      <c r="L10" s="13"/>
      <c r="M10" s="13"/>
      <c r="N10" s="13"/>
      <c r="O10" s="13"/>
      <c r="P10" s="13"/>
      <c r="Q10" s="13"/>
    </row>
    <row r="11" spans="1:17" s="13" customFormat="1">
      <c r="A11" s="13"/>
      <c r="B11" s="37" t="s">
        <v>289</v>
      </c>
      <c r="C11" s="38">
        <v>0</v>
      </c>
      <c r="D11" s="39">
        <v>0</v>
      </c>
      <c r="E11" s="37" t="s">
        <v>345</v>
      </c>
      <c r="F11" s="13"/>
      <c r="G11" s="13"/>
      <c r="H11" s="13"/>
      <c r="I11" s="13"/>
      <c r="J11" s="13"/>
      <c r="K11" s="13"/>
      <c r="L11" s="13"/>
      <c r="M11" s="13"/>
      <c r="N11" s="13"/>
      <c r="O11" s="13"/>
      <c r="P11" s="13"/>
      <c r="Q11" s="13"/>
    </row>
    <row r="12" spans="1:17" s="13" customFormat="1">
      <c r="A12" s="13"/>
      <c r="B12" s="37" t="s">
        <v>290</v>
      </c>
      <c r="C12" s="38">
        <v>0</v>
      </c>
      <c r="D12" s="39">
        <v>0</v>
      </c>
      <c r="E12" s="37" t="s">
        <v>35</v>
      </c>
      <c r="F12" s="13"/>
      <c r="G12" s="13"/>
      <c r="H12" s="13"/>
      <c r="I12" s="13"/>
      <c r="J12" s="13"/>
      <c r="K12" s="13"/>
      <c r="L12" s="13"/>
      <c r="M12" s="13"/>
      <c r="N12" s="13"/>
      <c r="O12" s="13"/>
      <c r="P12" s="13"/>
      <c r="Q12" s="13"/>
    </row>
    <row r="13" spans="1:17" s="13" customFormat="1">
      <c r="A13" s="13"/>
      <c r="B13" s="13"/>
      <c r="C13" s="13"/>
      <c r="D13" s="13"/>
      <c r="E13" s="13"/>
      <c r="F13" s="13"/>
      <c r="G13" s="13"/>
      <c r="H13" s="13"/>
      <c r="I13" s="13"/>
      <c r="J13" s="13"/>
      <c r="K13" s="13"/>
      <c r="L13" s="13"/>
      <c r="M13" s="13"/>
      <c r="N13" s="13"/>
      <c r="O13" s="13"/>
      <c r="P13" s="13"/>
      <c r="Q13" s="13"/>
    </row>
    <row r="14" spans="1:17" s="13" customFormat="1">
      <c r="A14" s="13"/>
      <c r="B14" s="13"/>
      <c r="C14" s="13"/>
      <c r="D14" s="13"/>
      <c r="E14" s="13"/>
      <c r="F14" s="13"/>
      <c r="G14" s="13"/>
      <c r="H14" s="13"/>
      <c r="I14" s="13"/>
      <c r="J14" s="13"/>
      <c r="K14" s="13"/>
      <c r="L14" s="13"/>
      <c r="M14" s="13"/>
      <c r="N14" s="13"/>
      <c r="O14" s="13"/>
      <c r="P14" s="13"/>
      <c r="Q14" s="13"/>
    </row>
    <row r="15" spans="1:17" s="13" customFormat="1">
      <c r="A15" s="13"/>
      <c r="B15" s="13"/>
      <c r="C15" s="13"/>
      <c r="D15" s="13"/>
      <c r="E15" s="13"/>
      <c r="F15" s="13"/>
      <c r="G15" s="13"/>
      <c r="H15" s="13"/>
      <c r="I15" s="13"/>
      <c r="J15" s="13"/>
      <c r="K15" s="13"/>
      <c r="L15" s="13"/>
      <c r="M15" s="13"/>
      <c r="N15" s="13"/>
      <c r="O15" s="13"/>
      <c r="P15" s="13"/>
      <c r="Q15" s="13"/>
    </row>
    <row r="16" spans="1:17" s="13" customFormat="1">
      <c r="A16" s="13"/>
      <c r="B16" s="13"/>
      <c r="C16" s="13"/>
      <c r="D16" s="13"/>
      <c r="E16" s="13"/>
      <c r="F16" s="13"/>
      <c r="G16" s="13"/>
      <c r="H16" s="13"/>
      <c r="I16" s="13"/>
      <c r="J16" s="13"/>
      <c r="K16" s="13"/>
      <c r="L16" s="13"/>
      <c r="M16" s="13"/>
      <c r="N16" s="13"/>
      <c r="O16" s="13"/>
      <c r="P16" s="13"/>
      <c r="Q16" s="13"/>
    </row>
    <row r="17" spans="1:17" ht="22" customHeight="1">
      <c r="A17" s="13"/>
      <c r="B17" s="34" t="s">
        <v>346</v>
      </c>
      <c r="C17" s="34"/>
      <c r="D17" s="34"/>
      <c r="E17" s="34"/>
      <c r="F17" s="34"/>
      <c r="G17" s="34"/>
      <c r="H17" s="34"/>
      <c r="I17" s="34"/>
      <c r="J17" s="34"/>
      <c r="K17" s="34"/>
      <c r="L17" s="34"/>
      <c r="M17" s="34"/>
      <c r="N17" s="34"/>
      <c r="O17" s="34"/>
      <c r="P17" s="13"/>
      <c r="Q17" s="13"/>
    </row>
    <row r="18" spans="1:17" s="13" customFormat="1">
      <c r="A18" s="13"/>
      <c r="B18" s="13"/>
      <c r="C18" s="13"/>
      <c r="D18" s="13"/>
      <c r="E18" s="13"/>
      <c r="F18" s="13"/>
      <c r="G18" s="13"/>
      <c r="H18" s="13"/>
      <c r="I18" s="13"/>
      <c r="J18" s="13"/>
      <c r="K18" s="13"/>
      <c r="L18" s="13"/>
      <c r="M18" s="13"/>
      <c r="N18" s="13"/>
      <c r="O18" s="13"/>
      <c r="P18" s="13"/>
      <c r="Q18" s="13"/>
    </row>
    <row r="19" spans="1:17" s="13" customFormat="1">
      <c r="A19" s="13"/>
      <c r="B19" s="36" t="s">
        <v>0</v>
      </c>
      <c r="C19" s="36" t="s">
        <v>304</v>
      </c>
      <c r="D19" s="36" t="s">
        <v>9</v>
      </c>
      <c r="E19" s="36" t="s">
        <v>13</v>
      </c>
      <c r="F19" s="36" t="s">
        <v>15</v>
      </c>
      <c r="G19" s="13"/>
      <c r="H19" s="13"/>
      <c r="I19" s="13"/>
      <c r="J19" s="13"/>
      <c r="K19" s="13"/>
      <c r="L19" s="13"/>
      <c r="M19" s="13"/>
      <c r="N19" s="13"/>
      <c r="O19" s="13"/>
      <c r="P19" s="13"/>
      <c r="Q19" s="13"/>
    </row>
    <row r="20" spans="1:17" s="13" customFormat="1">
      <c r="A20" s="13"/>
      <c r="B20" s="37">
        <v>6646</v>
      </c>
      <c r="C20" s="37" t="s">
        <v>262</v>
      </c>
      <c r="D20" s="37" t="s">
        <v>31</v>
      </c>
      <c r="E20" s="37" t="s">
        <v>35</v>
      </c>
      <c r="F20" s="40">
        <v>3.87</v>
      </c>
      <c r="G20" s="13"/>
      <c r="H20" s="13"/>
      <c r="I20" s="13"/>
      <c r="J20" s="13"/>
      <c r="K20" s="13"/>
      <c r="L20" s="13"/>
      <c r="M20" s="13"/>
      <c r="N20" s="13"/>
      <c r="O20" s="13"/>
      <c r="P20" s="13"/>
      <c r="Q20" s="13"/>
    </row>
    <row r="21" spans="1:17" s="13" customFormat="1">
      <c r="A21" s="13"/>
      <c r="B21" s="37">
        <v>6651</v>
      </c>
      <c r="C21" s="37" t="s">
        <v>246</v>
      </c>
      <c r="D21" s="37" t="s">
        <v>31</v>
      </c>
      <c r="E21" s="37" t="s">
        <v>46</v>
      </c>
      <c r="F21" s="40">
        <v>3.6</v>
      </c>
      <c r="G21" s="13"/>
      <c r="H21" s="13"/>
      <c r="I21" s="13"/>
      <c r="J21" s="13"/>
      <c r="K21" s="13"/>
      <c r="L21" s="13"/>
      <c r="M21" s="13"/>
      <c r="N21" s="13"/>
      <c r="O21" s="13"/>
      <c r="P21" s="13"/>
      <c r="Q21" s="13"/>
    </row>
    <row r="22" spans="1:17" s="13" customFormat="1">
      <c r="A22" s="13"/>
      <c r="B22" s="37">
        <v>6652</v>
      </c>
      <c r="C22" s="37" t="s">
        <v>241</v>
      </c>
      <c r="D22" s="37" t="s">
        <v>152</v>
      </c>
      <c r="E22" s="37" t="s">
        <v>46</v>
      </c>
      <c r="F22" s="40">
        <v>3.58</v>
      </c>
      <c r="G22" s="13"/>
      <c r="H22" s="13"/>
      <c r="I22" s="13"/>
      <c r="J22" s="13"/>
      <c r="K22" s="13"/>
      <c r="L22" s="13"/>
      <c r="M22" s="13"/>
      <c r="N22" s="13"/>
      <c r="O22" s="13"/>
      <c r="P22" s="13"/>
      <c r="Q22" s="13"/>
    </row>
    <row r="23" spans="1:17" s="13" customFormat="1">
      <c r="A23" s="13"/>
      <c r="B23" s="37">
        <v>6677</v>
      </c>
      <c r="C23" s="37" t="s">
        <v>166</v>
      </c>
      <c r="D23" s="37" t="s">
        <v>164</v>
      </c>
      <c r="E23" s="37" t="s">
        <v>73</v>
      </c>
      <c r="F23" s="40">
        <v>2.39</v>
      </c>
      <c r="G23" s="13"/>
      <c r="H23" s="13"/>
      <c r="I23" s="13"/>
      <c r="J23" s="13"/>
      <c r="K23" s="13"/>
      <c r="L23" s="13"/>
      <c r="M23" s="13"/>
      <c r="N23" s="13"/>
      <c r="O23" s="13"/>
      <c r="P23" s="13"/>
      <c r="Q23" s="13"/>
    </row>
    <row r="24" spans="1:17" s="13" customFormat="1">
      <c r="A24" s="13"/>
      <c r="B24" s="37">
        <v>6680</v>
      </c>
      <c r="C24" s="37" t="s">
        <v>149</v>
      </c>
      <c r="D24" s="37" t="s">
        <v>31</v>
      </c>
      <c r="E24" s="37" t="s">
        <v>46</v>
      </c>
      <c r="F24" s="40">
        <v>2.3</v>
      </c>
      <c r="G24" s="13"/>
      <c r="H24" s="13"/>
      <c r="I24" s="13"/>
      <c r="J24" s="13"/>
      <c r="K24" s="13"/>
      <c r="L24" s="13"/>
      <c r="M24" s="13"/>
      <c r="N24" s="13"/>
      <c r="O24" s="13"/>
      <c r="P24" s="13"/>
      <c r="Q24" s="13"/>
    </row>
    <row r="25" spans="1:17" s="13" customFormat="1">
      <c r="A25" s="13"/>
      <c r="B25" s="37">
        <v>6683</v>
      </c>
      <c r="C25" s="37" t="s">
        <v>138</v>
      </c>
      <c r="D25" s="37" t="s">
        <v>31</v>
      </c>
      <c r="E25" s="37" t="s">
        <v>46</v>
      </c>
      <c r="F25" s="40">
        <v>2.01</v>
      </c>
      <c r="G25" s="13"/>
      <c r="H25" s="13"/>
      <c r="I25" s="13"/>
      <c r="J25" s="13"/>
      <c r="K25" s="13"/>
      <c r="L25" s="13"/>
      <c r="M25" s="13"/>
      <c r="N25" s="13"/>
      <c r="O25" s="13"/>
      <c r="P25" s="13"/>
      <c r="Q25" s="13"/>
    </row>
    <row r="26" spans="1:17" s="13" customFormat="1">
      <c r="A26" s="13"/>
      <c r="B26" s="37">
        <v>6685</v>
      </c>
      <c r="C26" s="37" t="s">
        <v>133</v>
      </c>
      <c r="D26" s="37" t="s">
        <v>31</v>
      </c>
      <c r="E26" s="37" t="s">
        <v>35</v>
      </c>
      <c r="F26" s="40">
        <v>1.6</v>
      </c>
      <c r="G26" s="13"/>
      <c r="H26" s="13"/>
      <c r="I26" s="13"/>
      <c r="J26" s="13"/>
      <c r="K26" s="13"/>
      <c r="L26" s="13"/>
      <c r="M26" s="13"/>
      <c r="N26" s="13"/>
      <c r="O26" s="13"/>
      <c r="P26" s="13"/>
      <c r="Q26" s="13"/>
    </row>
    <row r="27" spans="1:17" s="13" customFormat="1">
      <c r="A27" s="13"/>
      <c r="B27" s="37">
        <v>6686</v>
      </c>
      <c r="C27" s="37" t="s">
        <v>129</v>
      </c>
      <c r="D27" s="37" t="s">
        <v>31</v>
      </c>
      <c r="E27" s="37" t="s">
        <v>122</v>
      </c>
      <c r="F27" s="40">
        <v>1.56</v>
      </c>
      <c r="G27" s="13"/>
      <c r="H27" s="13"/>
      <c r="I27" s="13"/>
      <c r="J27" s="13"/>
      <c r="K27" s="13"/>
      <c r="L27" s="13"/>
      <c r="M27" s="13"/>
      <c r="N27" s="13"/>
      <c r="O27" s="13"/>
      <c r="P27" s="13"/>
      <c r="Q27" s="13"/>
    </row>
    <row r="28" spans="1:17" s="13" customFormat="1">
      <c r="A28" s="13"/>
      <c r="B28" s="37">
        <v>6691</v>
      </c>
      <c r="C28" s="37" t="s">
        <v>109</v>
      </c>
      <c r="D28" s="37" t="s">
        <v>31</v>
      </c>
      <c r="E28" s="37" t="s">
        <v>46</v>
      </c>
      <c r="F28" s="40">
        <v>1.48</v>
      </c>
      <c r="G28" s="13"/>
      <c r="H28" s="13"/>
      <c r="I28" s="13"/>
      <c r="J28" s="13"/>
      <c r="K28" s="13"/>
      <c r="L28" s="13"/>
      <c r="M28" s="13"/>
      <c r="N28" s="13"/>
      <c r="O28" s="13"/>
      <c r="P28" s="13"/>
      <c r="Q28" s="13"/>
    </row>
    <row r="29" spans="1:17" s="13" customFormat="1">
      <c r="A29" s="13"/>
      <c r="B29" s="37">
        <v>6692</v>
      </c>
      <c r="C29" s="37" t="s">
        <v>105</v>
      </c>
      <c r="D29" s="37" t="s">
        <v>31</v>
      </c>
      <c r="E29" s="37" t="s">
        <v>35</v>
      </c>
      <c r="F29" s="40">
        <v>1.45</v>
      </c>
      <c r="G29" s="13"/>
      <c r="H29" s="13"/>
      <c r="I29" s="13"/>
      <c r="J29" s="13"/>
      <c r="K29" s="13"/>
      <c r="L29" s="13"/>
      <c r="M29" s="13"/>
      <c r="N29" s="13"/>
      <c r="O29" s="13"/>
      <c r="P29" s="13"/>
      <c r="Q29" s="13"/>
    </row>
    <row r="30" spans="1:17" s="13" customFormat="1">
      <c r="A30" s="13"/>
      <c r="B30" s="13"/>
      <c r="C30" s="13"/>
      <c r="D30" s="13"/>
      <c r="E30" s="13"/>
      <c r="F30" s="13"/>
      <c r="G30" s="13"/>
      <c r="H30" s="13"/>
      <c r="I30" s="13"/>
      <c r="J30" s="13"/>
      <c r="K30" s="13"/>
      <c r="L30" s="13"/>
      <c r="M30" s="13"/>
      <c r="N30" s="13"/>
      <c r="O30" s="13"/>
      <c r="P30" s="13"/>
      <c r="Q30" s="13"/>
    </row>
    <row r="31" spans="1:17" s="13" customFormat="1">
      <c r="A31" s="13"/>
      <c r="B31" s="13"/>
      <c r="C31" s="13"/>
      <c r="D31" s="13"/>
      <c r="E31" s="13"/>
      <c r="F31" s="13"/>
      <c r="G31" s="13"/>
      <c r="H31" s="13"/>
      <c r="I31" s="13"/>
      <c r="J31" s="13"/>
      <c r="K31" s="13"/>
      <c r="L31" s="13"/>
      <c r="M31" s="13"/>
      <c r="N31" s="13"/>
      <c r="O31" s="13"/>
      <c r="P31" s="13"/>
      <c r="Q31" s="13"/>
    </row>
    <row r="32" spans="1:17" s="13" customFormat="1">
      <c r="A32" s="13"/>
      <c r="B32" s="13"/>
      <c r="C32" s="13"/>
      <c r="D32" s="13"/>
      <c r="E32" s="13"/>
      <c r="F32" s="13"/>
      <c r="G32" s="13"/>
      <c r="H32" s="13"/>
      <c r="I32" s="13"/>
      <c r="J32" s="13"/>
      <c r="K32" s="13"/>
      <c r="L32" s="13"/>
      <c r="M32" s="13"/>
      <c r="N32" s="13"/>
      <c r="O32" s="13"/>
      <c r="P32" s="13"/>
      <c r="Q32" s="13"/>
    </row>
    <row r="33" spans="1:17" s="13" customFormat="1">
      <c r="A33" s="13"/>
      <c r="B33" s="13"/>
      <c r="C33" s="13"/>
      <c r="D33" s="13"/>
      <c r="E33" s="13"/>
      <c r="F33" s="13"/>
      <c r="G33" s="13"/>
      <c r="H33" s="13"/>
      <c r="I33" s="13"/>
      <c r="J33" s="13"/>
      <c r="K33" s="13"/>
      <c r="L33" s="13"/>
      <c r="M33" s="13"/>
      <c r="N33" s="13"/>
      <c r="O33" s="13"/>
      <c r="P33" s="13"/>
      <c r="Q33" s="13"/>
    </row>
    <row r="34" spans="1:17" s="13" customFormat="1">
      <c r="A34" s="13"/>
      <c r="B34" s="13"/>
      <c r="C34" s="13"/>
      <c r="D34" s="13"/>
      <c r="E34" s="13"/>
      <c r="F34" s="13"/>
      <c r="G34" s="13"/>
      <c r="H34" s="13"/>
      <c r="I34" s="13"/>
      <c r="J34" s="13"/>
      <c r="K34" s="13"/>
      <c r="L34" s="13"/>
      <c r="M34" s="13"/>
      <c r="N34" s="13"/>
      <c r="O34" s="13"/>
      <c r="P34" s="13"/>
      <c r="Q34" s="13"/>
    </row>
    <row r="35" spans="1:17" s="13" customFormat="1">
      <c r="A35" s="13"/>
      <c r="B35" s="13"/>
      <c r="C35" s="13"/>
      <c r="D35" s="13"/>
      <c r="E35" s="13"/>
      <c r="F35" s="13"/>
      <c r="G35" s="13"/>
      <c r="H35" s="13"/>
      <c r="I35" s="13"/>
      <c r="J35" s="13"/>
      <c r="K35" s="13"/>
      <c r="L35" s="13"/>
      <c r="M35" s="13"/>
      <c r="N35" s="13"/>
      <c r="O35" s="13"/>
      <c r="P35" s="13"/>
      <c r="Q35" s="13"/>
    </row>
    <row r="36" spans="1:17" s="13" customFormat="1">
      <c r="A36" s="13"/>
      <c r="B36" s="13"/>
      <c r="C36" s="13"/>
      <c r="D36" s="13"/>
      <c r="E36" s="13"/>
      <c r="F36" s="13"/>
      <c r="G36" s="13"/>
      <c r="H36" s="13"/>
      <c r="I36" s="13"/>
      <c r="J36" s="13"/>
      <c r="K36" s="13"/>
      <c r="L36" s="13"/>
      <c r="M36" s="13"/>
      <c r="N36" s="13"/>
      <c r="O36" s="13"/>
      <c r="P36" s="13"/>
      <c r="Q36" s="13"/>
    </row>
    <row r="37" spans="1:17" s="13" customFormat="1">
      <c r="A37" s="13"/>
      <c r="B37" s="13"/>
      <c r="C37" s="13"/>
      <c r="D37" s="13"/>
      <c r="E37" s="13"/>
      <c r="F37" s="13"/>
      <c r="G37" s="13"/>
      <c r="H37" s="13"/>
      <c r="I37" s="13"/>
      <c r="J37" s="13"/>
      <c r="K37" s="13"/>
      <c r="L37" s="13"/>
      <c r="M37" s="13"/>
      <c r="N37" s="13"/>
      <c r="O37" s="13"/>
      <c r="P37" s="13"/>
      <c r="Q37" s="13"/>
    </row>
    <row r="38" spans="1:17" s="13" customFormat="1">
      <c r="A38" s="13"/>
      <c r="B38" s="13"/>
      <c r="C38" s="13"/>
      <c r="D38" s="13"/>
      <c r="E38" s="13"/>
      <c r="F38" s="13"/>
      <c r="G38" s="13"/>
      <c r="H38" s="13"/>
      <c r="I38" s="13"/>
      <c r="J38" s="13"/>
      <c r="K38" s="13"/>
      <c r="L38" s="13"/>
      <c r="M38" s="13"/>
      <c r="N38" s="13"/>
      <c r="O38" s="13"/>
      <c r="P38" s="13"/>
      <c r="Q38" s="13"/>
    </row>
    <row r="39" spans="1:17" s="13" customFormat="1">
      <c r="A39" s="13"/>
      <c r="B39" s="13"/>
      <c r="C39" s="13"/>
      <c r="D39" s="13"/>
      <c r="E39" s="13"/>
      <c r="F39" s="13"/>
      <c r="G39" s="13"/>
      <c r="H39" s="13"/>
      <c r="I39" s="13"/>
      <c r="J39" s="13"/>
      <c r="K39" s="13"/>
      <c r="L39" s="13"/>
      <c r="M39" s="13"/>
      <c r="N39" s="13"/>
      <c r="O39" s="13"/>
      <c r="P39" s="13"/>
      <c r="Q39" s="13"/>
    </row>
    <row r="40" spans="1:17" s="13" customFormat="1">
      <c r="A40" s="13"/>
      <c r="B40" s="13"/>
      <c r="C40" s="13"/>
      <c r="D40" s="13"/>
      <c r="E40" s="13"/>
      <c r="F40" s="13"/>
      <c r="G40" s="13"/>
      <c r="H40" s="13"/>
      <c r="I40" s="13"/>
      <c r="J40" s="13"/>
      <c r="K40" s="13"/>
      <c r="L40" s="13"/>
      <c r="M40" s="13"/>
      <c r="N40" s="13"/>
      <c r="O40" s="13"/>
      <c r="P40" s="13"/>
      <c r="Q40" s="13"/>
    </row>
    <row r="41" spans="1:17" s="13" customFormat="1">
      <c r="A41" s="13"/>
      <c r="B41" s="13"/>
      <c r="C41" s="13"/>
      <c r="D41" s="13"/>
      <c r="E41" s="13"/>
      <c r="F41" s="13"/>
      <c r="G41" s="13"/>
      <c r="H41" s="13"/>
      <c r="I41" s="13"/>
      <c r="J41" s="13"/>
      <c r="K41" s="13"/>
      <c r="L41" s="13"/>
      <c r="M41" s="13"/>
      <c r="N41" s="13"/>
      <c r="O41" s="13"/>
      <c r="P41" s="13"/>
      <c r="Q41" s="13"/>
    </row>
    <row r="42" spans="1:17" s="13" customFormat="1">
      <c r="A42" s="13"/>
      <c r="B42" s="13"/>
      <c r="C42" s="13"/>
      <c r="D42" s="13"/>
      <c r="E42" s="13"/>
      <c r="F42" s="13"/>
      <c r="G42" s="13"/>
      <c r="H42" s="13"/>
      <c r="I42" s="13"/>
      <c r="J42" s="13"/>
      <c r="K42" s="13"/>
      <c r="L42" s="13"/>
      <c r="M42" s="13"/>
      <c r="N42" s="13"/>
      <c r="O42" s="13"/>
      <c r="P42" s="13"/>
      <c r="Q42" s="13"/>
    </row>
    <row r="43" spans="1:17" s="13" customFormat="1">
      <c r="A43" s="13"/>
      <c r="B43" s="13"/>
      <c r="C43" s="13"/>
      <c r="D43" s="13"/>
      <c r="E43" s="13"/>
      <c r="F43" s="13"/>
      <c r="G43" s="13"/>
      <c r="H43" s="13"/>
      <c r="I43" s="13"/>
      <c r="J43" s="13"/>
      <c r="K43" s="13"/>
      <c r="L43" s="13"/>
      <c r="M43" s="13"/>
      <c r="N43" s="13"/>
      <c r="O43" s="13"/>
      <c r="P43" s="13"/>
      <c r="Q43" s="13"/>
    </row>
    <row r="44" spans="1:17" s="13" customFormat="1">
      <c r="A44" s="13"/>
      <c r="B44" s="13"/>
      <c r="C44" s="13"/>
      <c r="D44" s="13"/>
      <c r="E44" s="13"/>
      <c r="F44" s="13"/>
      <c r="G44" s="13"/>
      <c r="H44" s="13"/>
      <c r="I44" s="13"/>
      <c r="J44" s="13"/>
      <c r="K44" s="13"/>
      <c r="L44" s="13"/>
      <c r="M44" s="13"/>
      <c r="N44" s="13"/>
      <c r="O44" s="13"/>
      <c r="P44" s="13"/>
      <c r="Q44" s="13"/>
    </row>
    <row r="45" spans="1:17" s="13" customFormat="1">
      <c r="A45" s="13"/>
      <c r="B45" s="13"/>
      <c r="C45" s="13"/>
      <c r="D45" s="13"/>
      <c r="E45" s="13"/>
      <c r="F45" s="13"/>
      <c r="G45" s="13"/>
      <c r="H45" s="13"/>
      <c r="I45" s="13"/>
      <c r="J45" s="13"/>
      <c r="K45" s="13"/>
      <c r="L45" s="13"/>
      <c r="M45" s="13"/>
      <c r="N45" s="13"/>
      <c r="O45" s="13"/>
      <c r="P45" s="13"/>
      <c r="Q45" s="13"/>
    </row>
    <row r="46" spans="1:17" s="13" customFormat="1">
      <c r="A46" s="13"/>
      <c r="B46" s="13"/>
      <c r="C46" s="13"/>
      <c r="D46" s="13"/>
      <c r="E46" s="13"/>
      <c r="F46" s="13"/>
      <c r="G46" s="13"/>
      <c r="H46" s="13"/>
      <c r="I46" s="13"/>
      <c r="J46" s="13"/>
      <c r="K46" s="13"/>
      <c r="L46" s="13"/>
      <c r="M46" s="13"/>
      <c r="N46" s="13"/>
      <c r="O46" s="13"/>
      <c r="P46" s="13"/>
      <c r="Q46" s="13"/>
    </row>
    <row r="47" spans="1:17" s="13" customFormat="1">
      <c r="A47" s="13"/>
      <c r="B47" s="13"/>
      <c r="C47" s="13"/>
      <c r="D47" s="13"/>
      <c r="E47" s="13"/>
      <c r="F47" s="13"/>
      <c r="G47" s="13"/>
      <c r="H47" s="13"/>
      <c r="I47" s="13"/>
      <c r="J47" s="13"/>
      <c r="K47" s="13"/>
      <c r="L47" s="13"/>
      <c r="M47" s="13"/>
      <c r="N47" s="13"/>
      <c r="O47" s="13"/>
      <c r="P47" s="13"/>
      <c r="Q47" s="13"/>
    </row>
    <row r="48" spans="1:17" s="13" customFormat="1">
      <c r="A48" s="13"/>
      <c r="B48" s="13"/>
      <c r="C48" s="13"/>
      <c r="D48" s="13"/>
      <c r="E48" s="13"/>
      <c r="F48" s="13"/>
      <c r="G48" s="13"/>
      <c r="H48" s="13"/>
      <c r="I48" s="13"/>
      <c r="J48" s="13"/>
      <c r="K48" s="13"/>
      <c r="L48" s="13"/>
      <c r="M48" s="13"/>
      <c r="N48" s="13"/>
      <c r="O48" s="13"/>
      <c r="P48" s="13"/>
      <c r="Q48" s="13"/>
    </row>
    <row r="49" spans="1:17" s="13" customFormat="1">
      <c r="A49" s="13"/>
      <c r="B49" s="13"/>
      <c r="C49" s="13"/>
      <c r="D49" s="13"/>
      <c r="E49" s="13"/>
      <c r="F49" s="13"/>
      <c r="G49" s="13"/>
      <c r="H49" s="13"/>
      <c r="I49" s="13"/>
      <c r="J49" s="13"/>
      <c r="K49" s="13"/>
      <c r="L49" s="13"/>
      <c r="M49" s="13"/>
      <c r="N49" s="13"/>
      <c r="O49" s="13"/>
      <c r="P49" s="13"/>
      <c r="Q49" s="13"/>
    </row>
    <row r="50" spans="1:17" s="13" customFormat="1">
      <c r="A50" s="13"/>
      <c r="B50" s="13"/>
      <c r="C50" s="13"/>
      <c r="D50" s="13"/>
      <c r="E50" s="13"/>
      <c r="F50" s="13"/>
      <c r="G50" s="13"/>
      <c r="H50" s="13"/>
      <c r="I50" s="13"/>
      <c r="J50" s="13"/>
      <c r="K50" s="13"/>
      <c r="L50" s="13"/>
      <c r="M50" s="13"/>
      <c r="N50" s="13"/>
      <c r="O50" s="13"/>
      <c r="P50" s="13"/>
      <c r="Q50" s="13"/>
    </row>
    <row r="51" spans="1:17" s="13" customFormat="1">
      <c r="A51" s="13"/>
      <c r="B51" s="13"/>
      <c r="C51" s="13"/>
      <c r="D51" s="13"/>
      <c r="E51" s="13"/>
      <c r="F51" s="13"/>
      <c r="G51" s="13"/>
      <c r="H51" s="13"/>
      <c r="I51" s="13"/>
      <c r="J51" s="13"/>
      <c r="K51" s="13"/>
      <c r="L51" s="13"/>
      <c r="M51" s="13"/>
      <c r="N51" s="13"/>
      <c r="O51" s="13"/>
      <c r="P51" s="13"/>
      <c r="Q51" s="13"/>
    </row>
    <row r="52" spans="1:17" s="13" customFormat="1">
      <c r="A52" s="13"/>
      <c r="B52" s="13"/>
      <c r="C52" s="13"/>
      <c r="D52" s="13"/>
      <c r="E52" s="13"/>
      <c r="F52" s="13"/>
      <c r="G52" s="13"/>
      <c r="H52" s="13"/>
      <c r="I52" s="13"/>
      <c r="J52" s="13"/>
      <c r="K52" s="13"/>
      <c r="L52" s="13"/>
      <c r="M52" s="13"/>
      <c r="N52" s="13"/>
      <c r="O52" s="13"/>
      <c r="P52" s="13"/>
      <c r="Q52" s="13"/>
    </row>
    <row r="53" spans="1:17" s="13" customFormat="1">
      <c r="A53" s="13"/>
      <c r="B53" s="13"/>
      <c r="C53" s="13"/>
      <c r="D53" s="13"/>
      <c r="E53" s="13"/>
      <c r="F53" s="13"/>
      <c r="G53" s="13"/>
      <c r="H53" s="13"/>
      <c r="I53" s="13"/>
      <c r="J53" s="13"/>
      <c r="K53" s="13"/>
      <c r="L53" s="13"/>
      <c r="M53" s="13"/>
      <c r="N53" s="13"/>
      <c r="O53" s="13"/>
      <c r="P53" s="13"/>
      <c r="Q53" s="13"/>
    </row>
    <row r="54" spans="1:17" s="13" customFormat="1">
      <c r="A54" s="13"/>
      <c r="B54" s="13"/>
      <c r="C54" s="13"/>
      <c r="D54" s="13"/>
      <c r="E54" s="13"/>
      <c r="F54" s="13"/>
      <c r="G54" s="13"/>
      <c r="H54" s="13"/>
      <c r="I54" s="13"/>
      <c r="J54" s="13"/>
      <c r="K54" s="13"/>
      <c r="L54" s="13"/>
      <c r="M54" s="13"/>
      <c r="N54" s="13"/>
      <c r="O54" s="13"/>
      <c r="P54" s="13"/>
      <c r="Q54" s="13"/>
    </row>
    <row r="55" spans="1:17" s="13" customFormat="1">
      <c r="A55" s="13"/>
      <c r="B55" s="13"/>
      <c r="C55" s="13"/>
      <c r="D55" s="13"/>
      <c r="E55" s="13"/>
      <c r="F55" s="13"/>
      <c r="G55" s="13"/>
      <c r="H55" s="13"/>
      <c r="I55" s="13"/>
      <c r="J55" s="13"/>
      <c r="K55" s="13"/>
      <c r="L55" s="13"/>
      <c r="M55" s="13"/>
      <c r="N55" s="13"/>
      <c r="O55" s="13"/>
      <c r="P55" s="13"/>
      <c r="Q55" s="13"/>
    </row>
    <row r="56" spans="1:17" s="13" customFormat="1">
      <c r="A56" s="13"/>
      <c r="B56" s="13"/>
      <c r="C56" s="13"/>
      <c r="D56" s="13"/>
      <c r="E56" s="13"/>
      <c r="F56" s="13"/>
      <c r="G56" s="13"/>
      <c r="H56" s="13"/>
      <c r="I56" s="13"/>
      <c r="J56" s="13"/>
      <c r="K56" s="13"/>
      <c r="L56" s="13"/>
      <c r="M56" s="13"/>
      <c r="N56" s="13"/>
      <c r="O56" s="13"/>
      <c r="P56" s="13"/>
      <c r="Q56" s="13"/>
    </row>
    <row r="57" spans="1:17" s="13" customFormat="1">
      <c r="A57" s="13"/>
      <c r="B57" s="13"/>
      <c r="C57" s="13"/>
      <c r="D57" s="13"/>
      <c r="E57" s="13"/>
      <c r="F57" s="13"/>
      <c r="G57" s="13"/>
      <c r="H57" s="13"/>
      <c r="I57" s="13"/>
      <c r="J57" s="13"/>
      <c r="K57" s="13"/>
      <c r="L57" s="13"/>
      <c r="M57" s="13"/>
      <c r="N57" s="13"/>
      <c r="O57" s="13"/>
      <c r="P57" s="13"/>
      <c r="Q57" s="13"/>
    </row>
    <row r="58" spans="1:17" s="13" customFormat="1">
      <c r="A58" s="13"/>
      <c r="B58" s="13"/>
      <c r="C58" s="13"/>
      <c r="D58" s="13"/>
      <c r="E58" s="13"/>
      <c r="F58" s="13"/>
      <c r="G58" s="13"/>
      <c r="H58" s="13"/>
      <c r="I58" s="13"/>
      <c r="J58" s="13"/>
      <c r="K58" s="13"/>
      <c r="L58" s="13"/>
      <c r="M58" s="13"/>
      <c r="N58" s="13"/>
      <c r="O58" s="13"/>
      <c r="P58" s="13"/>
      <c r="Q58" s="13"/>
    </row>
    <row r="59" spans="1:17" s="13" customFormat="1">
      <c r="A59" s="13"/>
      <c r="B59" s="13"/>
      <c r="C59" s="13"/>
      <c r="D59" s="13"/>
      <c r="E59" s="13"/>
      <c r="F59" s="13"/>
      <c r="G59" s="13"/>
      <c r="H59" s="13"/>
      <c r="I59" s="13"/>
      <c r="J59" s="13"/>
      <c r="K59" s="13"/>
      <c r="L59" s="13"/>
      <c r="M59" s="13"/>
      <c r="N59" s="13"/>
      <c r="O59" s="13"/>
      <c r="P59" s="13"/>
      <c r="Q59" s="13"/>
    </row>
    <row r="60" spans="1:17" s="13" customFormat="1">
      <c r="A60" s="13"/>
      <c r="B60" s="13"/>
      <c r="C60" s="13"/>
      <c r="D60" s="13"/>
      <c r="E60" s="13"/>
      <c r="F60" s="13"/>
      <c r="G60" s="13"/>
      <c r="H60" s="13"/>
      <c r="I60" s="13"/>
      <c r="J60" s="13"/>
      <c r="K60" s="13"/>
      <c r="L60" s="13"/>
      <c r="M60" s="13"/>
      <c r="N60" s="13"/>
      <c r="O60" s="13"/>
      <c r="P60" s="13"/>
      <c r="Q60" s="13"/>
    </row>
  </sheetData>
  <mergeCells count="4">
    <mergeCell ref="B2:O2"/>
    <mergeCell ref="B3:O3"/>
    <mergeCell ref="B5:O5"/>
    <mergeCell ref="B17:O17"/>
  </mergeCells>
  <conditionalFormatting sqref="C8:C12">
    <cfRule type="colorScale" priority="1">
      <colorScale>
        <cfvo type="min" val="0"/>
        <cfvo type="percentile" val="50"/>
        <cfvo type="max" val="0"/>
        <color rgb="FF16A34A"/>
        <color rgb="FFF59E0B"/>
        <color rgb="FFDC2626"/>
      </colorScale>
    </cfRule>
  </conditionalFormatting>
  <conditionalFormatting sqref="F20:F29">
    <cfRule type="colorScale" priority="2">
      <colorScale>
        <cfvo type="min" val="0"/>
        <cfvo type="percentile" val="50"/>
        <cfvo type="max" val="0"/>
        <color rgb="FFFDE68A"/>
        <color rgb="FFF97316"/>
        <color rgb="FFDC2626"/>
      </colorScale>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sheetPr>
    <tabColor rgb="FFA78BFA"/>
  </sheetPr>
  <dimension ref="A1:Q60"/>
  <sheetViews>
    <sheetView showGridLines="0" zoomScale="90" zoomScaleNormal="90" workbookViewId="0"/>
  </sheetViews>
  <sheetFormatPr defaultRowHeight="15"/>
  <cols>
    <col min="1" max="1" width="2.7109375" customWidth="1"/>
    <col min="2" max="15" width="13.7109375" customWidth="1"/>
  </cols>
  <sheetData>
    <row r="1" spans="1:17" s="13" customFormat="1">
      <c r="A1" s="13"/>
      <c r="B1" s="13"/>
      <c r="C1" s="13"/>
      <c r="D1" s="13"/>
      <c r="E1" s="13"/>
      <c r="F1" s="13"/>
      <c r="G1" s="13"/>
      <c r="H1" s="13"/>
      <c r="I1" s="13"/>
      <c r="J1" s="13"/>
      <c r="K1" s="13"/>
      <c r="L1" s="13"/>
      <c r="M1" s="13"/>
      <c r="N1" s="13"/>
      <c r="O1" s="13"/>
      <c r="P1" s="13"/>
      <c r="Q1" s="13"/>
    </row>
    <row r="2" spans="1:17" ht="38" customHeight="1">
      <c r="A2" s="13"/>
      <c r="B2" s="14" t="s">
        <v>347</v>
      </c>
      <c r="C2" s="14"/>
      <c r="D2" s="14"/>
      <c r="E2" s="14"/>
      <c r="F2" s="14"/>
      <c r="G2" s="14"/>
      <c r="H2" s="14"/>
      <c r="I2" s="14"/>
      <c r="J2" s="14"/>
      <c r="K2" s="14"/>
      <c r="L2" s="14"/>
      <c r="M2" s="14"/>
      <c r="N2" s="14"/>
      <c r="O2" s="14"/>
      <c r="P2" s="13"/>
      <c r="Q2" s="13"/>
    </row>
    <row r="3" spans="1:17" ht="18" customHeight="1">
      <c r="A3" s="13"/>
      <c r="B3" s="15" t="s">
        <v>348</v>
      </c>
      <c r="C3" s="15"/>
      <c r="D3" s="15"/>
      <c r="E3" s="15"/>
      <c r="F3" s="15"/>
      <c r="G3" s="15"/>
      <c r="H3" s="15"/>
      <c r="I3" s="15"/>
      <c r="J3" s="15"/>
      <c r="K3" s="15"/>
      <c r="L3" s="15"/>
      <c r="M3" s="15"/>
      <c r="N3" s="15"/>
      <c r="O3" s="15"/>
      <c r="P3" s="13"/>
      <c r="Q3" s="13"/>
    </row>
    <row r="4" spans="1:17" s="13" customFormat="1">
      <c r="A4" s="13"/>
      <c r="B4" s="13"/>
      <c r="C4" s="13"/>
      <c r="D4" s="13"/>
      <c r="E4" s="13"/>
      <c r="F4" s="13"/>
      <c r="G4" s="13"/>
      <c r="H4" s="13"/>
      <c r="I4" s="13"/>
      <c r="J4" s="13"/>
      <c r="K4" s="13"/>
      <c r="L4" s="13"/>
      <c r="M4" s="13"/>
      <c r="N4" s="13"/>
      <c r="O4" s="13"/>
      <c r="P4" s="13"/>
      <c r="Q4" s="13"/>
    </row>
    <row r="5" spans="1:17" ht="22" customHeight="1">
      <c r="A5" s="13"/>
      <c r="B5" s="34" t="s">
        <v>349</v>
      </c>
      <c r="C5" s="34"/>
      <c r="D5" s="34"/>
      <c r="E5" s="34"/>
      <c r="F5" s="34"/>
      <c r="G5" s="34"/>
      <c r="H5" s="34"/>
      <c r="I5" s="34"/>
      <c r="J5" s="34"/>
      <c r="K5" s="34"/>
      <c r="L5" s="34"/>
      <c r="M5" s="34"/>
      <c r="N5" s="34"/>
      <c r="O5" s="34"/>
      <c r="P5" s="13"/>
      <c r="Q5" s="13"/>
    </row>
    <row r="6" spans="1:17" s="13" customFormat="1">
      <c r="A6" s="13"/>
      <c r="B6" s="13"/>
      <c r="C6" s="13"/>
      <c r="D6" s="13"/>
      <c r="E6" s="13"/>
      <c r="F6" s="13"/>
      <c r="G6" s="13"/>
      <c r="H6" s="13"/>
      <c r="I6" s="13"/>
      <c r="J6" s="13"/>
      <c r="K6" s="13"/>
      <c r="L6" s="13"/>
      <c r="M6" s="13"/>
      <c r="N6" s="13"/>
      <c r="O6" s="13"/>
      <c r="P6" s="13"/>
      <c r="Q6" s="13"/>
    </row>
    <row r="7" spans="1:17" s="13" customFormat="1">
      <c r="A7" s="13"/>
      <c r="B7" s="36" t="s">
        <v>292</v>
      </c>
      <c r="C7" s="36" t="s">
        <v>280</v>
      </c>
      <c r="D7" s="36" t="s">
        <v>55</v>
      </c>
      <c r="E7" s="36" t="s">
        <v>36</v>
      </c>
      <c r="F7" s="13"/>
      <c r="G7" s="13"/>
      <c r="H7" s="13"/>
      <c r="I7" s="13"/>
      <c r="J7" s="13"/>
      <c r="K7" s="13"/>
      <c r="L7" s="13"/>
      <c r="M7" s="13"/>
      <c r="N7" s="13"/>
      <c r="O7" s="13"/>
      <c r="P7" s="13"/>
      <c r="Q7" s="13"/>
    </row>
    <row r="8" spans="1:17" s="13" customFormat="1">
      <c r="A8" s="13"/>
      <c r="B8" s="37" t="s">
        <v>25</v>
      </c>
      <c r="C8" s="38">
        <v>62</v>
      </c>
      <c r="D8" s="38">
        <v>40</v>
      </c>
      <c r="E8" s="38">
        <v>22</v>
      </c>
      <c r="F8" s="13"/>
      <c r="G8" s="13"/>
      <c r="H8" s="13"/>
      <c r="I8" s="13"/>
      <c r="J8" s="13"/>
      <c r="K8" s="13"/>
      <c r="L8" s="13"/>
      <c r="M8" s="13"/>
      <c r="N8" s="13"/>
      <c r="O8" s="13"/>
      <c r="P8" s="13"/>
      <c r="Q8" s="13"/>
    </row>
    <row r="9" spans="1:17" s="13" customFormat="1">
      <c r="A9" s="13"/>
      <c r="B9" s="13"/>
      <c r="C9" s="13"/>
      <c r="D9" s="13"/>
      <c r="E9" s="13"/>
      <c r="F9" s="13"/>
      <c r="G9" s="13"/>
      <c r="H9" s="13"/>
      <c r="I9" s="13"/>
      <c r="J9" s="13"/>
      <c r="K9" s="13"/>
      <c r="L9" s="13"/>
      <c r="M9" s="13"/>
      <c r="N9" s="13"/>
      <c r="O9" s="13"/>
      <c r="P9" s="13"/>
      <c r="Q9" s="13"/>
    </row>
    <row r="10" spans="1:17" s="13" customFormat="1">
      <c r="A10" s="13"/>
      <c r="B10" s="13"/>
      <c r="C10" s="13"/>
      <c r="D10" s="13"/>
      <c r="E10" s="13"/>
      <c r="F10" s="13"/>
      <c r="G10" s="13"/>
      <c r="H10" s="13"/>
      <c r="I10" s="13"/>
      <c r="J10" s="13"/>
      <c r="K10" s="13"/>
      <c r="L10" s="13"/>
      <c r="M10" s="13"/>
      <c r="N10" s="13"/>
      <c r="O10" s="13"/>
      <c r="P10" s="13"/>
      <c r="Q10" s="13"/>
    </row>
    <row r="11" spans="1:17" s="13" customFormat="1">
      <c r="A11" s="13"/>
      <c r="B11" s="13"/>
      <c r="C11" s="13"/>
      <c r="D11" s="13"/>
      <c r="E11" s="13"/>
      <c r="F11" s="13"/>
      <c r="G11" s="13"/>
      <c r="H11" s="13"/>
      <c r="I11" s="13"/>
      <c r="J11" s="13"/>
      <c r="K11" s="13"/>
      <c r="L11" s="13"/>
      <c r="M11" s="13"/>
      <c r="N11" s="13"/>
      <c r="O11" s="13"/>
      <c r="P11" s="13"/>
      <c r="Q11" s="13"/>
    </row>
    <row r="12" spans="1:17" s="13" customFormat="1">
      <c r="A12" s="13"/>
      <c r="B12" s="13"/>
      <c r="C12" s="13"/>
      <c r="D12" s="13"/>
      <c r="E12" s="13"/>
      <c r="F12" s="13"/>
      <c r="G12" s="13"/>
      <c r="H12" s="13"/>
      <c r="I12" s="13"/>
      <c r="J12" s="13"/>
      <c r="K12" s="13"/>
      <c r="L12" s="13"/>
      <c r="M12" s="13"/>
      <c r="N12" s="13"/>
      <c r="O12" s="13"/>
      <c r="P12" s="13"/>
      <c r="Q12" s="13"/>
    </row>
    <row r="13" spans="1:17" s="13" customFormat="1">
      <c r="A13" s="13"/>
      <c r="B13" s="13"/>
      <c r="C13" s="13"/>
      <c r="D13" s="13"/>
      <c r="E13" s="13"/>
      <c r="F13" s="13"/>
      <c r="G13" s="13"/>
      <c r="H13" s="13"/>
      <c r="I13" s="13"/>
      <c r="J13" s="13"/>
      <c r="K13" s="13"/>
      <c r="L13" s="13"/>
      <c r="M13" s="13"/>
      <c r="N13" s="13"/>
      <c r="O13" s="13"/>
      <c r="P13" s="13"/>
      <c r="Q13" s="13"/>
    </row>
    <row r="14" spans="1:17" s="13" customFormat="1">
      <c r="A14" s="13"/>
      <c r="B14" s="13"/>
      <c r="C14" s="13"/>
      <c r="D14" s="13"/>
      <c r="E14" s="13"/>
      <c r="F14" s="13"/>
      <c r="G14" s="13"/>
      <c r="H14" s="13"/>
      <c r="I14" s="13"/>
      <c r="J14" s="13"/>
      <c r="K14" s="13"/>
      <c r="L14" s="13"/>
      <c r="M14" s="13"/>
      <c r="N14" s="13"/>
      <c r="O14" s="13"/>
      <c r="P14" s="13"/>
      <c r="Q14" s="13"/>
    </row>
    <row r="15" spans="1:17" s="13" customFormat="1">
      <c r="A15" s="13"/>
      <c r="B15" s="13"/>
      <c r="C15" s="13"/>
      <c r="D15" s="13"/>
      <c r="E15" s="13"/>
      <c r="F15" s="13"/>
      <c r="G15" s="13"/>
      <c r="H15" s="13"/>
      <c r="I15" s="13"/>
      <c r="J15" s="13"/>
      <c r="K15" s="13"/>
      <c r="L15" s="13"/>
      <c r="M15" s="13"/>
      <c r="N15" s="13"/>
      <c r="O15" s="13"/>
      <c r="P15" s="13"/>
      <c r="Q15" s="13"/>
    </row>
    <row r="16" spans="1:17" s="13" customFormat="1">
      <c r="A16" s="13"/>
      <c r="B16" s="13"/>
      <c r="C16" s="13"/>
      <c r="D16" s="13"/>
      <c r="E16" s="13"/>
      <c r="F16" s="13"/>
      <c r="G16" s="13"/>
      <c r="H16" s="13"/>
      <c r="I16" s="13"/>
      <c r="J16" s="13"/>
      <c r="K16" s="13"/>
      <c r="L16" s="13"/>
      <c r="M16" s="13"/>
      <c r="N16" s="13"/>
      <c r="O16" s="13"/>
      <c r="P16" s="13"/>
      <c r="Q16" s="13"/>
    </row>
    <row r="17" spans="1:17" ht="22" customHeight="1">
      <c r="A17" s="13"/>
      <c r="B17" s="34" t="s">
        <v>350</v>
      </c>
      <c r="C17" s="34"/>
      <c r="D17" s="34"/>
      <c r="E17" s="34"/>
      <c r="F17" s="34"/>
      <c r="G17" s="34"/>
      <c r="H17" s="34"/>
      <c r="I17" s="34"/>
      <c r="J17" s="34"/>
      <c r="K17" s="34"/>
      <c r="L17" s="34"/>
      <c r="M17" s="34"/>
      <c r="N17" s="34"/>
      <c r="O17" s="34"/>
      <c r="P17" s="13"/>
      <c r="Q17" s="13"/>
    </row>
    <row r="18" spans="1:17" s="13" customFormat="1">
      <c r="A18" s="13"/>
      <c r="B18" s="13"/>
      <c r="C18" s="13"/>
      <c r="D18" s="13"/>
      <c r="E18" s="13"/>
      <c r="F18" s="13"/>
      <c r="G18" s="13"/>
      <c r="H18" s="13"/>
      <c r="I18" s="13"/>
      <c r="J18" s="13"/>
      <c r="K18" s="13"/>
      <c r="L18" s="13"/>
      <c r="M18" s="13"/>
      <c r="N18" s="13"/>
      <c r="O18" s="13"/>
      <c r="P18" s="13"/>
      <c r="Q18" s="13"/>
    </row>
    <row r="19" spans="1:17" s="13" customFormat="1">
      <c r="A19" s="13"/>
      <c r="B19" s="36" t="s">
        <v>294</v>
      </c>
      <c r="C19" s="36" t="s">
        <v>284</v>
      </c>
      <c r="D19" s="13"/>
      <c r="E19" s="13"/>
      <c r="F19" s="13"/>
      <c r="G19" s="13"/>
      <c r="H19" s="13"/>
      <c r="I19" s="13"/>
      <c r="J19" s="13"/>
      <c r="K19" s="13"/>
      <c r="L19" s="13"/>
      <c r="M19" s="13"/>
      <c r="N19" s="13"/>
      <c r="O19" s="13"/>
      <c r="P19" s="13"/>
      <c r="Q19" s="13"/>
    </row>
    <row r="20" spans="1:17" s="13" customFormat="1">
      <c r="A20" s="13"/>
      <c r="B20" s="37" t="s">
        <v>295</v>
      </c>
      <c r="C20" s="38">
        <v>21</v>
      </c>
      <c r="D20" s="13"/>
      <c r="E20" s="13"/>
      <c r="F20" s="13"/>
      <c r="G20" s="13"/>
      <c r="H20" s="13"/>
      <c r="I20" s="13"/>
      <c r="J20" s="13"/>
      <c r="K20" s="13"/>
      <c r="L20" s="13"/>
      <c r="M20" s="13"/>
      <c r="N20" s="13"/>
      <c r="O20" s="13"/>
      <c r="P20" s="13"/>
      <c r="Q20" s="13"/>
    </row>
    <row r="21" spans="1:17" s="13" customFormat="1">
      <c r="A21" s="13"/>
      <c r="B21" s="37" t="s">
        <v>296</v>
      </c>
      <c r="C21" s="38">
        <v>17</v>
      </c>
      <c r="D21" s="13"/>
      <c r="E21" s="13"/>
      <c r="F21" s="13"/>
      <c r="G21" s="13"/>
      <c r="H21" s="13"/>
      <c r="I21" s="13"/>
      <c r="J21" s="13"/>
      <c r="K21" s="13"/>
      <c r="L21" s="13"/>
      <c r="M21" s="13"/>
      <c r="N21" s="13"/>
      <c r="O21" s="13"/>
      <c r="P21" s="13"/>
      <c r="Q21" s="13"/>
    </row>
    <row r="22" spans="1:17" s="13" customFormat="1">
      <c r="A22" s="13"/>
      <c r="B22" s="37" t="s">
        <v>297</v>
      </c>
      <c r="C22" s="38">
        <v>16</v>
      </c>
      <c r="D22" s="13"/>
      <c r="E22" s="13"/>
      <c r="F22" s="13"/>
      <c r="G22" s="13"/>
      <c r="H22" s="13"/>
      <c r="I22" s="13"/>
      <c r="J22" s="13"/>
      <c r="K22" s="13"/>
      <c r="L22" s="13"/>
      <c r="M22" s="13"/>
      <c r="N22" s="13"/>
      <c r="O22" s="13"/>
      <c r="P22" s="13"/>
      <c r="Q22" s="13"/>
    </row>
    <row r="23" spans="1:17" s="13" customFormat="1">
      <c r="A23" s="13"/>
      <c r="B23" s="37" t="s">
        <v>298</v>
      </c>
      <c r="C23" s="38">
        <v>8</v>
      </c>
      <c r="D23" s="13"/>
      <c r="E23" s="13"/>
      <c r="F23" s="13"/>
      <c r="G23" s="13"/>
      <c r="H23" s="13"/>
      <c r="I23" s="13"/>
      <c r="J23" s="13"/>
      <c r="K23" s="13"/>
      <c r="L23" s="13"/>
      <c r="M23" s="13"/>
      <c r="N23" s="13"/>
      <c r="O23" s="13"/>
      <c r="P23" s="13"/>
      <c r="Q23" s="13"/>
    </row>
    <row r="24" spans="1:17" s="13" customFormat="1">
      <c r="A24" s="13"/>
      <c r="B24" s="13"/>
      <c r="C24" s="13"/>
      <c r="D24" s="13"/>
      <c r="E24" s="13"/>
      <c r="F24" s="13"/>
      <c r="G24" s="13"/>
      <c r="H24" s="13"/>
      <c r="I24" s="13"/>
      <c r="J24" s="13"/>
      <c r="K24" s="13"/>
      <c r="L24" s="13"/>
      <c r="M24" s="13"/>
      <c r="N24" s="13"/>
      <c r="O24" s="13"/>
      <c r="P24" s="13"/>
      <c r="Q24" s="13"/>
    </row>
    <row r="25" spans="1:17" s="13" customFormat="1">
      <c r="A25" s="13"/>
      <c r="B25" s="13"/>
      <c r="C25" s="13"/>
      <c r="D25" s="13"/>
      <c r="E25" s="13"/>
      <c r="F25" s="13"/>
      <c r="G25" s="13"/>
      <c r="H25" s="13"/>
      <c r="I25" s="13"/>
      <c r="J25" s="13"/>
      <c r="K25" s="13"/>
      <c r="L25" s="13"/>
      <c r="M25" s="13"/>
      <c r="N25" s="13"/>
      <c r="O25" s="13"/>
      <c r="P25" s="13"/>
      <c r="Q25" s="13"/>
    </row>
    <row r="26" spans="1:17" s="13" customFormat="1">
      <c r="A26" s="13"/>
      <c r="B26" s="13"/>
      <c r="C26" s="13"/>
      <c r="D26" s="13"/>
      <c r="E26" s="13"/>
      <c r="F26" s="13"/>
      <c r="G26" s="13"/>
      <c r="H26" s="13"/>
      <c r="I26" s="13"/>
      <c r="J26" s="13"/>
      <c r="K26" s="13"/>
      <c r="L26" s="13"/>
      <c r="M26" s="13"/>
      <c r="N26" s="13"/>
      <c r="O26" s="13"/>
      <c r="P26" s="13"/>
      <c r="Q26" s="13"/>
    </row>
    <row r="27" spans="1:17" s="13" customFormat="1">
      <c r="A27" s="13"/>
      <c r="B27" s="13"/>
      <c r="C27" s="13"/>
      <c r="D27" s="13"/>
      <c r="E27" s="13"/>
      <c r="F27" s="13"/>
      <c r="G27" s="13"/>
      <c r="H27" s="13"/>
      <c r="I27" s="13"/>
      <c r="J27" s="13"/>
      <c r="K27" s="13"/>
      <c r="L27" s="13"/>
      <c r="M27" s="13"/>
      <c r="N27" s="13"/>
      <c r="O27" s="13"/>
      <c r="P27" s="13"/>
      <c r="Q27" s="13"/>
    </row>
    <row r="28" spans="1:17" s="13" customFormat="1">
      <c r="A28" s="13"/>
      <c r="B28" s="13"/>
      <c r="C28" s="13"/>
      <c r="D28" s="13"/>
      <c r="E28" s="13"/>
      <c r="F28" s="13"/>
      <c r="G28" s="13"/>
      <c r="H28" s="13"/>
      <c r="I28" s="13"/>
      <c r="J28" s="13"/>
      <c r="K28" s="13"/>
      <c r="L28" s="13"/>
      <c r="M28" s="13"/>
      <c r="N28" s="13"/>
      <c r="O28" s="13"/>
      <c r="P28" s="13"/>
      <c r="Q28" s="13"/>
    </row>
    <row r="29" spans="1:17" s="13" customFormat="1">
      <c r="A29" s="13"/>
      <c r="B29" s="13"/>
      <c r="C29" s="13"/>
      <c r="D29" s="13"/>
      <c r="E29" s="13"/>
      <c r="F29" s="13"/>
      <c r="G29" s="13"/>
      <c r="H29" s="13"/>
      <c r="I29" s="13"/>
      <c r="J29" s="13"/>
      <c r="K29" s="13"/>
      <c r="L29" s="13"/>
      <c r="M29" s="13"/>
      <c r="N29" s="13"/>
      <c r="O29" s="13"/>
      <c r="P29" s="13"/>
      <c r="Q29" s="13"/>
    </row>
    <row r="30" spans="1:17" s="13" customFormat="1">
      <c r="A30" s="13"/>
      <c r="B30" s="13"/>
      <c r="C30" s="13"/>
      <c r="D30" s="13"/>
      <c r="E30" s="13"/>
      <c r="F30" s="13"/>
      <c r="G30" s="13"/>
      <c r="H30" s="13"/>
      <c r="I30" s="13"/>
      <c r="J30" s="13"/>
      <c r="K30" s="13"/>
      <c r="L30" s="13"/>
      <c r="M30" s="13"/>
      <c r="N30" s="13"/>
      <c r="O30" s="13"/>
      <c r="P30" s="13"/>
      <c r="Q30" s="13"/>
    </row>
    <row r="31" spans="1:17" s="13" customFormat="1">
      <c r="A31" s="13"/>
      <c r="B31" s="13"/>
      <c r="C31" s="13"/>
      <c r="D31" s="13"/>
      <c r="E31" s="13"/>
      <c r="F31" s="13"/>
      <c r="G31" s="13"/>
      <c r="H31" s="13"/>
      <c r="I31" s="13"/>
      <c r="J31" s="13"/>
      <c r="K31" s="13"/>
      <c r="L31" s="13"/>
      <c r="M31" s="13"/>
      <c r="N31" s="13"/>
      <c r="O31" s="13"/>
      <c r="P31" s="13"/>
      <c r="Q31" s="13"/>
    </row>
    <row r="32" spans="1:17" s="13" customFormat="1">
      <c r="A32" s="13"/>
      <c r="B32" s="13"/>
      <c r="C32" s="13"/>
      <c r="D32" s="13"/>
      <c r="E32" s="13"/>
      <c r="F32" s="13"/>
      <c r="G32" s="13"/>
      <c r="H32" s="13"/>
      <c r="I32" s="13"/>
      <c r="J32" s="13"/>
      <c r="K32" s="13"/>
      <c r="L32" s="13"/>
      <c r="M32" s="13"/>
      <c r="N32" s="13"/>
      <c r="O32" s="13"/>
      <c r="P32" s="13"/>
      <c r="Q32" s="13"/>
    </row>
    <row r="33" spans="1:17" s="13" customFormat="1">
      <c r="A33" s="13"/>
      <c r="B33" s="13"/>
      <c r="C33" s="13"/>
      <c r="D33" s="13"/>
      <c r="E33" s="13"/>
      <c r="F33" s="13"/>
      <c r="G33" s="13"/>
      <c r="H33" s="13"/>
      <c r="I33" s="13"/>
      <c r="J33" s="13"/>
      <c r="K33" s="13"/>
      <c r="L33" s="13"/>
      <c r="M33" s="13"/>
      <c r="N33" s="13"/>
      <c r="O33" s="13"/>
      <c r="P33" s="13"/>
      <c r="Q33" s="13"/>
    </row>
    <row r="34" spans="1:17" s="13" customFormat="1">
      <c r="A34" s="13"/>
      <c r="B34" s="13"/>
      <c r="C34" s="13"/>
      <c r="D34" s="13"/>
      <c r="E34" s="13"/>
      <c r="F34" s="13"/>
      <c r="G34" s="13"/>
      <c r="H34" s="13"/>
      <c r="I34" s="13"/>
      <c r="J34" s="13"/>
      <c r="K34" s="13"/>
      <c r="L34" s="13"/>
      <c r="M34" s="13"/>
      <c r="N34" s="13"/>
      <c r="O34" s="13"/>
      <c r="P34" s="13"/>
      <c r="Q34" s="13"/>
    </row>
    <row r="35" spans="1:17" s="13" customFormat="1">
      <c r="A35" s="13"/>
      <c r="B35" s="13"/>
      <c r="C35" s="13"/>
      <c r="D35" s="13"/>
      <c r="E35" s="13"/>
      <c r="F35" s="13"/>
      <c r="G35" s="13"/>
      <c r="H35" s="13"/>
      <c r="I35" s="13"/>
      <c r="J35" s="13"/>
      <c r="K35" s="13"/>
      <c r="L35" s="13"/>
      <c r="M35" s="13"/>
      <c r="N35" s="13"/>
      <c r="O35" s="13"/>
      <c r="P35" s="13"/>
      <c r="Q35" s="13"/>
    </row>
    <row r="36" spans="1:17" s="13" customFormat="1">
      <c r="A36" s="13"/>
      <c r="B36" s="13"/>
      <c r="C36" s="13"/>
      <c r="D36" s="13"/>
      <c r="E36" s="13"/>
      <c r="F36" s="13"/>
      <c r="G36" s="13"/>
      <c r="H36" s="13"/>
      <c r="I36" s="13"/>
      <c r="J36" s="13"/>
      <c r="K36" s="13"/>
      <c r="L36" s="13"/>
      <c r="M36" s="13"/>
      <c r="N36" s="13"/>
      <c r="O36" s="13"/>
      <c r="P36" s="13"/>
      <c r="Q36" s="13"/>
    </row>
    <row r="37" spans="1:17" s="13" customFormat="1">
      <c r="A37" s="13"/>
      <c r="B37" s="13"/>
      <c r="C37" s="13"/>
      <c r="D37" s="13"/>
      <c r="E37" s="13"/>
      <c r="F37" s="13"/>
      <c r="G37" s="13"/>
      <c r="H37" s="13"/>
      <c r="I37" s="13"/>
      <c r="J37" s="13"/>
      <c r="K37" s="13"/>
      <c r="L37" s="13"/>
      <c r="M37" s="13"/>
      <c r="N37" s="13"/>
      <c r="O37" s="13"/>
      <c r="P37" s="13"/>
      <c r="Q37" s="13"/>
    </row>
    <row r="38" spans="1:17" s="13" customFormat="1">
      <c r="A38" s="13"/>
      <c r="B38" s="13"/>
      <c r="C38" s="13"/>
      <c r="D38" s="13"/>
      <c r="E38" s="13"/>
      <c r="F38" s="13"/>
      <c r="G38" s="13"/>
      <c r="H38" s="13"/>
      <c r="I38" s="13"/>
      <c r="J38" s="13"/>
      <c r="K38" s="13"/>
      <c r="L38" s="13"/>
      <c r="M38" s="13"/>
      <c r="N38" s="13"/>
      <c r="O38" s="13"/>
      <c r="P38" s="13"/>
      <c r="Q38" s="13"/>
    </row>
    <row r="39" spans="1:17" s="13" customFormat="1">
      <c r="A39" s="13"/>
      <c r="B39" s="13"/>
      <c r="C39" s="13"/>
      <c r="D39" s="13"/>
      <c r="E39" s="13"/>
      <c r="F39" s="13"/>
      <c r="G39" s="13"/>
      <c r="H39" s="13"/>
      <c r="I39" s="13"/>
      <c r="J39" s="13"/>
      <c r="K39" s="13"/>
      <c r="L39" s="13"/>
      <c r="M39" s="13"/>
      <c r="N39" s="13"/>
      <c r="O39" s="13"/>
      <c r="P39" s="13"/>
      <c r="Q39" s="13"/>
    </row>
    <row r="40" spans="1:17" s="13" customFormat="1">
      <c r="A40" s="13"/>
      <c r="B40" s="13"/>
      <c r="C40" s="13"/>
      <c r="D40" s="13"/>
      <c r="E40" s="13"/>
      <c r="F40" s="13"/>
      <c r="G40" s="13"/>
      <c r="H40" s="13"/>
      <c r="I40" s="13"/>
      <c r="J40" s="13"/>
      <c r="K40" s="13"/>
      <c r="L40" s="13"/>
      <c r="M40" s="13"/>
      <c r="N40" s="13"/>
      <c r="O40" s="13"/>
      <c r="P40" s="13"/>
      <c r="Q40" s="13"/>
    </row>
    <row r="41" spans="1:17" s="13" customFormat="1">
      <c r="A41" s="13"/>
      <c r="B41" s="13"/>
      <c r="C41" s="13"/>
      <c r="D41" s="13"/>
      <c r="E41" s="13"/>
      <c r="F41" s="13"/>
      <c r="G41" s="13"/>
      <c r="H41" s="13"/>
      <c r="I41" s="13"/>
      <c r="J41" s="13"/>
      <c r="K41" s="13"/>
      <c r="L41" s="13"/>
      <c r="M41" s="13"/>
      <c r="N41" s="13"/>
      <c r="O41" s="13"/>
      <c r="P41" s="13"/>
      <c r="Q41" s="13"/>
    </row>
    <row r="42" spans="1:17" s="13" customFormat="1">
      <c r="A42" s="13"/>
      <c r="B42" s="13"/>
      <c r="C42" s="13"/>
      <c r="D42" s="13"/>
      <c r="E42" s="13"/>
      <c r="F42" s="13"/>
      <c r="G42" s="13"/>
      <c r="H42" s="13"/>
      <c r="I42" s="13"/>
      <c r="J42" s="13"/>
      <c r="K42" s="13"/>
      <c r="L42" s="13"/>
      <c r="M42" s="13"/>
      <c r="N42" s="13"/>
      <c r="O42" s="13"/>
      <c r="P42" s="13"/>
      <c r="Q42" s="13"/>
    </row>
    <row r="43" spans="1:17" s="13" customFormat="1">
      <c r="A43" s="13"/>
      <c r="B43" s="13"/>
      <c r="C43" s="13"/>
      <c r="D43" s="13"/>
      <c r="E43" s="13"/>
      <c r="F43" s="13"/>
      <c r="G43" s="13"/>
      <c r="H43" s="13"/>
      <c r="I43" s="13"/>
      <c r="J43" s="13"/>
      <c r="K43" s="13"/>
      <c r="L43" s="13"/>
      <c r="M43" s="13"/>
      <c r="N43" s="13"/>
      <c r="O43" s="13"/>
      <c r="P43" s="13"/>
      <c r="Q43" s="13"/>
    </row>
    <row r="44" spans="1:17" s="13" customFormat="1">
      <c r="A44" s="13"/>
      <c r="B44" s="13"/>
      <c r="C44" s="13"/>
      <c r="D44" s="13"/>
      <c r="E44" s="13"/>
      <c r="F44" s="13"/>
      <c r="G44" s="13"/>
      <c r="H44" s="13"/>
      <c r="I44" s="13"/>
      <c r="J44" s="13"/>
      <c r="K44" s="13"/>
      <c r="L44" s="13"/>
      <c r="M44" s="13"/>
      <c r="N44" s="13"/>
      <c r="O44" s="13"/>
      <c r="P44" s="13"/>
      <c r="Q44" s="13"/>
    </row>
    <row r="45" spans="1:17" s="13" customFormat="1">
      <c r="A45" s="13"/>
      <c r="B45" s="13"/>
      <c r="C45" s="13"/>
      <c r="D45" s="13"/>
      <c r="E45" s="13"/>
      <c r="F45" s="13"/>
      <c r="G45" s="13"/>
      <c r="H45" s="13"/>
      <c r="I45" s="13"/>
      <c r="J45" s="13"/>
      <c r="K45" s="13"/>
      <c r="L45" s="13"/>
      <c r="M45" s="13"/>
      <c r="N45" s="13"/>
      <c r="O45" s="13"/>
      <c r="P45" s="13"/>
      <c r="Q45" s="13"/>
    </row>
    <row r="46" spans="1:17" s="13" customFormat="1">
      <c r="A46" s="13"/>
      <c r="B46" s="13"/>
      <c r="C46" s="13"/>
      <c r="D46" s="13"/>
      <c r="E46" s="13"/>
      <c r="F46" s="13"/>
      <c r="G46" s="13"/>
      <c r="H46" s="13"/>
      <c r="I46" s="13"/>
      <c r="J46" s="13"/>
      <c r="K46" s="13"/>
      <c r="L46" s="13"/>
      <c r="M46" s="13"/>
      <c r="N46" s="13"/>
      <c r="O46" s="13"/>
      <c r="P46" s="13"/>
      <c r="Q46" s="13"/>
    </row>
    <row r="47" spans="1:17" s="13" customFormat="1">
      <c r="A47" s="13"/>
      <c r="B47" s="13"/>
      <c r="C47" s="13"/>
      <c r="D47" s="13"/>
      <c r="E47" s="13"/>
      <c r="F47" s="13"/>
      <c r="G47" s="13"/>
      <c r="H47" s="13"/>
      <c r="I47" s="13"/>
      <c r="J47" s="13"/>
      <c r="K47" s="13"/>
      <c r="L47" s="13"/>
      <c r="M47" s="13"/>
      <c r="N47" s="13"/>
      <c r="O47" s="13"/>
      <c r="P47" s="13"/>
      <c r="Q47" s="13"/>
    </row>
    <row r="48" spans="1:17" s="13" customFormat="1">
      <c r="A48" s="13"/>
      <c r="B48" s="13"/>
      <c r="C48" s="13"/>
      <c r="D48" s="13"/>
      <c r="E48" s="13"/>
      <c r="F48" s="13"/>
      <c r="G48" s="13"/>
      <c r="H48" s="13"/>
      <c r="I48" s="13"/>
      <c r="J48" s="13"/>
      <c r="K48" s="13"/>
      <c r="L48" s="13"/>
      <c r="M48" s="13"/>
      <c r="N48" s="13"/>
      <c r="O48" s="13"/>
      <c r="P48" s="13"/>
      <c r="Q48" s="13"/>
    </row>
    <row r="49" spans="1:17" s="13" customFormat="1">
      <c r="A49" s="13"/>
      <c r="B49" s="13"/>
      <c r="C49" s="13"/>
      <c r="D49" s="13"/>
      <c r="E49" s="13"/>
      <c r="F49" s="13"/>
      <c r="G49" s="13"/>
      <c r="H49" s="13"/>
      <c r="I49" s="13"/>
      <c r="J49" s="13"/>
      <c r="K49" s="13"/>
      <c r="L49" s="13"/>
      <c r="M49" s="13"/>
      <c r="N49" s="13"/>
      <c r="O49" s="13"/>
      <c r="P49" s="13"/>
      <c r="Q49" s="13"/>
    </row>
    <row r="50" spans="1:17" s="13" customFormat="1">
      <c r="A50" s="13"/>
      <c r="B50" s="13"/>
      <c r="C50" s="13"/>
      <c r="D50" s="13"/>
      <c r="E50" s="13"/>
      <c r="F50" s="13"/>
      <c r="G50" s="13"/>
      <c r="H50" s="13"/>
      <c r="I50" s="13"/>
      <c r="J50" s="13"/>
      <c r="K50" s="13"/>
      <c r="L50" s="13"/>
      <c r="M50" s="13"/>
      <c r="N50" s="13"/>
      <c r="O50" s="13"/>
      <c r="P50" s="13"/>
      <c r="Q50" s="13"/>
    </row>
    <row r="51" spans="1:17" s="13" customFormat="1">
      <c r="A51" s="13"/>
      <c r="B51" s="13"/>
      <c r="C51" s="13"/>
      <c r="D51" s="13"/>
      <c r="E51" s="13"/>
      <c r="F51" s="13"/>
      <c r="G51" s="13"/>
      <c r="H51" s="13"/>
      <c r="I51" s="13"/>
      <c r="J51" s="13"/>
      <c r="K51" s="13"/>
      <c r="L51" s="13"/>
      <c r="M51" s="13"/>
      <c r="N51" s="13"/>
      <c r="O51" s="13"/>
      <c r="P51" s="13"/>
      <c r="Q51" s="13"/>
    </row>
    <row r="52" spans="1:17" s="13" customFormat="1">
      <c r="A52" s="13"/>
      <c r="B52" s="13"/>
      <c r="C52" s="13"/>
      <c r="D52" s="13"/>
      <c r="E52" s="13"/>
      <c r="F52" s="13"/>
      <c r="G52" s="13"/>
      <c r="H52" s="13"/>
      <c r="I52" s="13"/>
      <c r="J52" s="13"/>
      <c r="K52" s="13"/>
      <c r="L52" s="13"/>
      <c r="M52" s="13"/>
      <c r="N52" s="13"/>
      <c r="O52" s="13"/>
      <c r="P52" s="13"/>
      <c r="Q52" s="13"/>
    </row>
    <row r="53" spans="1:17" s="13" customFormat="1">
      <c r="A53" s="13"/>
      <c r="B53" s="13"/>
      <c r="C53" s="13"/>
      <c r="D53" s="13"/>
      <c r="E53" s="13"/>
      <c r="F53" s="13"/>
      <c r="G53" s="13"/>
      <c r="H53" s="13"/>
      <c r="I53" s="13"/>
      <c r="J53" s="13"/>
      <c r="K53" s="13"/>
      <c r="L53" s="13"/>
      <c r="M53" s="13"/>
      <c r="N53" s="13"/>
      <c r="O53" s="13"/>
      <c r="P53" s="13"/>
      <c r="Q53" s="13"/>
    </row>
    <row r="54" spans="1:17" s="13" customFormat="1">
      <c r="A54" s="13"/>
      <c r="B54" s="13"/>
      <c r="C54" s="13"/>
      <c r="D54" s="13"/>
      <c r="E54" s="13"/>
      <c r="F54" s="13"/>
      <c r="G54" s="13"/>
      <c r="H54" s="13"/>
      <c r="I54" s="13"/>
      <c r="J54" s="13"/>
      <c r="K54" s="13"/>
      <c r="L54" s="13"/>
      <c r="M54" s="13"/>
      <c r="N54" s="13"/>
      <c r="O54" s="13"/>
      <c r="P54" s="13"/>
      <c r="Q54" s="13"/>
    </row>
    <row r="55" spans="1:17" s="13" customFormat="1">
      <c r="A55" s="13"/>
      <c r="B55" s="13"/>
      <c r="C55" s="13"/>
      <c r="D55" s="13"/>
      <c r="E55" s="13"/>
      <c r="F55" s="13"/>
      <c r="G55" s="13"/>
      <c r="H55" s="13"/>
      <c r="I55" s="13"/>
      <c r="J55" s="13"/>
      <c r="K55" s="13"/>
      <c r="L55" s="13"/>
      <c r="M55" s="13"/>
      <c r="N55" s="13"/>
      <c r="O55" s="13"/>
      <c r="P55" s="13"/>
      <c r="Q55" s="13"/>
    </row>
    <row r="56" spans="1:17" s="13" customFormat="1">
      <c r="A56" s="13"/>
      <c r="B56" s="13"/>
      <c r="C56" s="13"/>
      <c r="D56" s="13"/>
      <c r="E56" s="13"/>
      <c r="F56" s="13"/>
      <c r="G56" s="13"/>
      <c r="H56" s="13"/>
      <c r="I56" s="13"/>
      <c r="J56" s="13"/>
      <c r="K56" s="13"/>
      <c r="L56" s="13"/>
      <c r="M56" s="13"/>
      <c r="N56" s="13"/>
      <c r="O56" s="13"/>
      <c r="P56" s="13"/>
      <c r="Q56" s="13"/>
    </row>
    <row r="57" spans="1:17" s="13" customFormat="1">
      <c r="A57" s="13"/>
      <c r="B57" s="13"/>
      <c r="C57" s="13"/>
      <c r="D57" s="13"/>
      <c r="E57" s="13"/>
      <c r="F57" s="13"/>
      <c r="G57" s="13"/>
      <c r="H57" s="13"/>
      <c r="I57" s="13"/>
      <c r="J57" s="13"/>
      <c r="K57" s="13"/>
      <c r="L57" s="13"/>
      <c r="M57" s="13"/>
      <c r="N57" s="13"/>
      <c r="O57" s="13"/>
      <c r="P57" s="13"/>
      <c r="Q57" s="13"/>
    </row>
    <row r="58" spans="1:17" s="13" customFormat="1">
      <c r="A58" s="13"/>
      <c r="B58" s="13"/>
      <c r="C58" s="13"/>
      <c r="D58" s="13"/>
      <c r="E58" s="13"/>
      <c r="F58" s="13"/>
      <c r="G58" s="13"/>
      <c r="H58" s="13"/>
      <c r="I58" s="13"/>
      <c r="J58" s="13"/>
      <c r="K58" s="13"/>
      <c r="L58" s="13"/>
      <c r="M58" s="13"/>
      <c r="N58" s="13"/>
      <c r="O58" s="13"/>
      <c r="P58" s="13"/>
      <c r="Q58" s="13"/>
    </row>
    <row r="59" spans="1:17" s="13" customFormat="1">
      <c r="A59" s="13"/>
      <c r="B59" s="13"/>
      <c r="C59" s="13"/>
      <c r="D59" s="13"/>
      <c r="E59" s="13"/>
      <c r="F59" s="13"/>
      <c r="G59" s="13"/>
      <c r="H59" s="13"/>
      <c r="I59" s="13"/>
      <c r="J59" s="13"/>
      <c r="K59" s="13"/>
      <c r="L59" s="13"/>
      <c r="M59" s="13"/>
      <c r="N59" s="13"/>
      <c r="O59" s="13"/>
      <c r="P59" s="13"/>
      <c r="Q59" s="13"/>
    </row>
    <row r="60" spans="1:17" s="13" customFormat="1">
      <c r="A60" s="13"/>
      <c r="B60" s="13"/>
      <c r="C60" s="13"/>
      <c r="D60" s="13"/>
      <c r="E60" s="13"/>
      <c r="F60" s="13"/>
      <c r="G60" s="13"/>
      <c r="H60" s="13"/>
      <c r="I60" s="13"/>
      <c r="J60" s="13"/>
      <c r="K60" s="13"/>
      <c r="L60" s="13"/>
      <c r="M60" s="13"/>
      <c r="N60" s="13"/>
      <c r="O60" s="13"/>
      <c r="P60" s="13"/>
      <c r="Q60" s="13"/>
    </row>
  </sheetData>
  <mergeCells count="4">
    <mergeCell ref="B2:O2"/>
    <mergeCell ref="B3:O3"/>
    <mergeCell ref="B5:O5"/>
    <mergeCell ref="B17:O1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sheetPr>
    <tabColor rgb="FFEF4444"/>
  </sheetPr>
  <dimension ref="A1:Q60"/>
  <sheetViews>
    <sheetView showGridLines="0" zoomScale="90" zoomScaleNormal="90" workbookViewId="0"/>
  </sheetViews>
  <sheetFormatPr defaultRowHeight="15"/>
  <cols>
    <col min="1" max="1" width="2.7109375" customWidth="1"/>
    <col min="2" max="15" width="13.7109375" customWidth="1"/>
  </cols>
  <sheetData>
    <row r="1" spans="1:17" s="13" customFormat="1">
      <c r="A1" s="13"/>
      <c r="B1" s="13"/>
      <c r="C1" s="13"/>
      <c r="D1" s="13"/>
      <c r="E1" s="13"/>
      <c r="F1" s="13"/>
      <c r="G1" s="13"/>
      <c r="H1" s="13"/>
      <c r="I1" s="13"/>
      <c r="J1" s="13"/>
      <c r="K1" s="13"/>
      <c r="L1" s="13"/>
      <c r="M1" s="13"/>
      <c r="N1" s="13"/>
      <c r="O1" s="13"/>
      <c r="P1" s="13"/>
      <c r="Q1" s="13"/>
    </row>
    <row r="2" spans="1:17" ht="38" customHeight="1">
      <c r="A2" s="13"/>
      <c r="B2" s="14" t="s">
        <v>351</v>
      </c>
      <c r="C2" s="14"/>
      <c r="D2" s="14"/>
      <c r="E2" s="14"/>
      <c r="F2" s="14"/>
      <c r="G2" s="14"/>
      <c r="H2" s="14"/>
      <c r="I2" s="14"/>
      <c r="J2" s="14"/>
      <c r="K2" s="14"/>
      <c r="L2" s="14"/>
      <c r="M2" s="14"/>
      <c r="N2" s="14"/>
      <c r="O2" s="14"/>
      <c r="P2" s="13"/>
      <c r="Q2" s="13"/>
    </row>
    <row r="3" spans="1:17" ht="18" customHeight="1">
      <c r="A3" s="13"/>
      <c r="B3" s="15" t="s">
        <v>352</v>
      </c>
      <c r="C3" s="15"/>
      <c r="D3" s="15"/>
      <c r="E3" s="15"/>
      <c r="F3" s="15"/>
      <c r="G3" s="15"/>
      <c r="H3" s="15"/>
      <c r="I3" s="15"/>
      <c r="J3" s="15"/>
      <c r="K3" s="15"/>
      <c r="L3" s="15"/>
      <c r="M3" s="15"/>
      <c r="N3" s="15"/>
      <c r="O3" s="15"/>
      <c r="P3" s="13"/>
      <c r="Q3" s="13"/>
    </row>
    <row r="4" spans="1:17" s="13" customFormat="1">
      <c r="A4" s="13"/>
      <c r="B4" s="13"/>
      <c r="C4" s="13"/>
      <c r="D4" s="13"/>
      <c r="E4" s="13"/>
      <c r="F4" s="13"/>
      <c r="G4" s="13"/>
      <c r="H4" s="13"/>
      <c r="I4" s="13"/>
      <c r="J4" s="13"/>
      <c r="K4" s="13"/>
      <c r="L4" s="13"/>
      <c r="M4" s="13"/>
      <c r="N4" s="13"/>
      <c r="O4" s="13"/>
      <c r="P4" s="13"/>
      <c r="Q4" s="13"/>
    </row>
    <row r="5" spans="1:17" ht="22" customHeight="1">
      <c r="A5" s="13"/>
      <c r="B5" s="34" t="s">
        <v>353</v>
      </c>
      <c r="C5" s="34"/>
      <c r="D5" s="34"/>
      <c r="E5" s="34"/>
      <c r="F5" s="34"/>
      <c r="G5" s="34"/>
      <c r="H5" s="34"/>
      <c r="I5" s="34"/>
      <c r="J5" s="34"/>
      <c r="K5" s="34"/>
      <c r="L5" s="34"/>
      <c r="M5" s="34"/>
      <c r="N5" s="34"/>
      <c r="O5" s="34"/>
      <c r="P5" s="13"/>
      <c r="Q5" s="13"/>
    </row>
    <row r="6" spans="1:17" s="13" customFormat="1">
      <c r="A6" s="13"/>
      <c r="B6" s="13"/>
      <c r="C6" s="13"/>
      <c r="D6" s="13"/>
      <c r="E6" s="13"/>
      <c r="F6" s="13"/>
      <c r="G6" s="13"/>
      <c r="H6" s="13"/>
      <c r="I6" s="13"/>
      <c r="J6" s="13"/>
      <c r="K6" s="13"/>
      <c r="L6" s="13"/>
      <c r="M6" s="13"/>
      <c r="N6" s="13"/>
      <c r="O6" s="13"/>
      <c r="P6" s="13"/>
      <c r="Q6" s="13"/>
    </row>
    <row r="7" spans="1:17" s="13" customFormat="1">
      <c r="A7" s="13"/>
      <c r="B7" s="36" t="s">
        <v>18</v>
      </c>
      <c r="C7" s="36" t="s">
        <v>284</v>
      </c>
      <c r="D7" s="36" t="s">
        <v>333</v>
      </c>
      <c r="E7" s="13"/>
      <c r="F7" s="13"/>
      <c r="G7" s="13"/>
      <c r="H7" s="13"/>
      <c r="I7" s="13"/>
      <c r="J7" s="13"/>
      <c r="K7" s="13"/>
      <c r="L7" s="13"/>
      <c r="M7" s="13"/>
      <c r="N7" s="13"/>
      <c r="O7" s="13"/>
      <c r="P7" s="13"/>
      <c r="Q7" s="13"/>
    </row>
    <row r="8" spans="1:17" s="13" customFormat="1">
      <c r="A8" s="13"/>
      <c r="B8" s="37" t="s">
        <v>38</v>
      </c>
      <c r="C8" s="38">
        <v>55</v>
      </c>
      <c r="D8" s="39">
        <v>0.8870967741935484</v>
      </c>
      <c r="E8" s="13"/>
      <c r="F8" s="13"/>
      <c r="G8" s="13"/>
      <c r="H8" s="13"/>
      <c r="I8" s="13"/>
      <c r="J8" s="13"/>
      <c r="K8" s="13"/>
      <c r="L8" s="13"/>
      <c r="M8" s="13"/>
      <c r="N8" s="13"/>
      <c r="O8" s="13"/>
      <c r="P8" s="13"/>
      <c r="Q8" s="13"/>
    </row>
    <row r="9" spans="1:17" s="13" customFormat="1">
      <c r="A9" s="13"/>
      <c r="B9" s="37" t="s">
        <v>79</v>
      </c>
      <c r="C9" s="38">
        <v>7</v>
      </c>
      <c r="D9" s="39">
        <v>0.1129032258064516</v>
      </c>
      <c r="E9" s="13"/>
      <c r="F9" s="13"/>
      <c r="G9" s="13"/>
      <c r="H9" s="13"/>
      <c r="I9" s="13"/>
      <c r="J9" s="13"/>
      <c r="K9" s="13"/>
      <c r="L9" s="13"/>
      <c r="M9" s="13"/>
      <c r="N9" s="13"/>
      <c r="O9" s="13"/>
      <c r="P9" s="13"/>
      <c r="Q9" s="13"/>
    </row>
    <row r="10" spans="1:17" s="13" customFormat="1">
      <c r="A10" s="13"/>
      <c r="B10" s="13"/>
      <c r="C10" s="13"/>
      <c r="D10" s="13"/>
      <c r="E10" s="13"/>
      <c r="F10" s="13"/>
      <c r="G10" s="13"/>
      <c r="H10" s="13"/>
      <c r="I10" s="13"/>
      <c r="J10" s="13"/>
      <c r="K10" s="13"/>
      <c r="L10" s="13"/>
      <c r="M10" s="13"/>
      <c r="N10" s="13"/>
      <c r="O10" s="13"/>
      <c r="P10" s="13"/>
      <c r="Q10" s="13"/>
    </row>
    <row r="11" spans="1:17" s="13" customFormat="1">
      <c r="A11" s="13"/>
      <c r="B11" s="13"/>
      <c r="C11" s="13"/>
      <c r="D11" s="13"/>
      <c r="E11" s="13"/>
      <c r="F11" s="13"/>
      <c r="G11" s="13"/>
      <c r="H11" s="13"/>
      <c r="I11" s="13"/>
      <c r="J11" s="13"/>
      <c r="K11" s="13"/>
      <c r="L11" s="13"/>
      <c r="M11" s="13"/>
      <c r="N11" s="13"/>
      <c r="O11" s="13"/>
      <c r="P11" s="13"/>
      <c r="Q11" s="13"/>
    </row>
    <row r="12" spans="1:17" s="13" customFormat="1">
      <c r="A12" s="13"/>
      <c r="B12" s="13"/>
      <c r="C12" s="13"/>
      <c r="D12" s="13"/>
      <c r="E12" s="13"/>
      <c r="F12" s="13"/>
      <c r="G12" s="13"/>
      <c r="H12" s="13"/>
      <c r="I12" s="13"/>
      <c r="J12" s="13"/>
      <c r="K12" s="13"/>
      <c r="L12" s="13"/>
      <c r="M12" s="13"/>
      <c r="N12" s="13"/>
      <c r="O12" s="13"/>
      <c r="P12" s="13"/>
      <c r="Q12" s="13"/>
    </row>
    <row r="13" spans="1:17" s="13" customFormat="1">
      <c r="A13" s="13"/>
      <c r="B13" s="13"/>
      <c r="C13" s="13"/>
      <c r="D13" s="13"/>
      <c r="E13" s="13"/>
      <c r="F13" s="13"/>
      <c r="G13" s="13"/>
      <c r="H13" s="13"/>
      <c r="I13" s="13"/>
      <c r="J13" s="13"/>
      <c r="K13" s="13"/>
      <c r="L13" s="13"/>
      <c r="M13" s="13"/>
      <c r="N13" s="13"/>
      <c r="O13" s="13"/>
      <c r="P13" s="13"/>
      <c r="Q13" s="13"/>
    </row>
    <row r="14" spans="1:17" s="13" customFormat="1">
      <c r="A14" s="13"/>
      <c r="B14" s="13"/>
      <c r="C14" s="13"/>
      <c r="D14" s="13"/>
      <c r="E14" s="13"/>
      <c r="F14" s="13"/>
      <c r="G14" s="13"/>
      <c r="H14" s="13"/>
      <c r="I14" s="13"/>
      <c r="J14" s="13"/>
      <c r="K14" s="13"/>
      <c r="L14" s="13"/>
      <c r="M14" s="13"/>
      <c r="N14" s="13"/>
      <c r="O14" s="13"/>
      <c r="P14" s="13"/>
      <c r="Q14" s="13"/>
    </row>
    <row r="15" spans="1:17" s="13" customFormat="1">
      <c r="A15" s="13"/>
      <c r="B15" s="13"/>
      <c r="C15" s="13"/>
      <c r="D15" s="13"/>
      <c r="E15" s="13"/>
      <c r="F15" s="13"/>
      <c r="G15" s="13"/>
      <c r="H15" s="13"/>
      <c r="I15" s="13"/>
      <c r="J15" s="13"/>
      <c r="K15" s="13"/>
      <c r="L15" s="13"/>
      <c r="M15" s="13"/>
      <c r="N15" s="13"/>
      <c r="O15" s="13"/>
      <c r="P15" s="13"/>
      <c r="Q15" s="13"/>
    </row>
    <row r="16" spans="1:17" s="13" customFormat="1">
      <c r="A16" s="13"/>
      <c r="B16" s="13"/>
      <c r="C16" s="13"/>
      <c r="D16" s="13"/>
      <c r="E16" s="13"/>
      <c r="F16" s="13"/>
      <c r="G16" s="13"/>
      <c r="H16" s="13"/>
      <c r="I16" s="13"/>
      <c r="J16" s="13"/>
      <c r="K16" s="13"/>
      <c r="L16" s="13"/>
      <c r="M16" s="13"/>
      <c r="N16" s="13"/>
      <c r="O16" s="13"/>
      <c r="P16" s="13"/>
      <c r="Q16" s="13"/>
    </row>
    <row r="17" spans="1:17" ht="22" customHeight="1">
      <c r="A17" s="13"/>
      <c r="B17" s="34" t="s">
        <v>354</v>
      </c>
      <c r="C17" s="34"/>
      <c r="D17" s="34"/>
      <c r="E17" s="34"/>
      <c r="F17" s="34"/>
      <c r="G17" s="34"/>
      <c r="H17" s="34"/>
      <c r="I17" s="34"/>
      <c r="J17" s="34"/>
      <c r="K17" s="34"/>
      <c r="L17" s="34"/>
      <c r="M17" s="34"/>
      <c r="N17" s="34"/>
      <c r="O17" s="34"/>
      <c r="P17" s="13"/>
      <c r="Q17" s="13"/>
    </row>
    <row r="18" spans="1:17" s="13" customFormat="1">
      <c r="A18" s="13"/>
      <c r="B18" s="13"/>
      <c r="C18" s="13"/>
      <c r="D18" s="13"/>
      <c r="E18" s="13"/>
      <c r="F18" s="13"/>
      <c r="G18" s="13"/>
      <c r="H18" s="13"/>
      <c r="I18" s="13"/>
      <c r="J18" s="13"/>
      <c r="K18" s="13"/>
      <c r="L18" s="13"/>
      <c r="M18" s="13"/>
      <c r="N18" s="13"/>
      <c r="O18" s="13"/>
      <c r="P18" s="13"/>
      <c r="Q18" s="13"/>
    </row>
    <row r="19" spans="1:17" s="13" customFormat="1">
      <c r="A19" s="13"/>
      <c r="B19" s="36" t="s">
        <v>22</v>
      </c>
      <c r="C19" s="36" t="s">
        <v>300</v>
      </c>
      <c r="D19" s="36" t="s">
        <v>301</v>
      </c>
      <c r="E19" s="13"/>
      <c r="F19" s="13"/>
      <c r="G19" s="13"/>
      <c r="H19" s="13"/>
      <c r="I19" s="13"/>
      <c r="J19" s="13"/>
      <c r="K19" s="13"/>
      <c r="L19" s="13"/>
      <c r="M19" s="13"/>
      <c r="N19" s="13"/>
      <c r="O19" s="13"/>
      <c r="P19" s="13"/>
      <c r="Q19" s="13"/>
    </row>
    <row r="20" spans="1:17" s="13" customFormat="1">
      <c r="A20" s="13"/>
      <c r="B20" s="37" t="s">
        <v>100</v>
      </c>
      <c r="C20" s="38">
        <v>35</v>
      </c>
      <c r="D20" s="40">
        <v>14.64085714285714</v>
      </c>
      <c r="E20" s="13"/>
      <c r="F20" s="13"/>
      <c r="G20" s="13"/>
      <c r="H20" s="13"/>
      <c r="I20" s="13"/>
      <c r="J20" s="13"/>
      <c r="K20" s="13"/>
      <c r="L20" s="13"/>
      <c r="M20" s="13"/>
      <c r="N20" s="13"/>
      <c r="O20" s="13"/>
      <c r="P20" s="13"/>
      <c r="Q20" s="13"/>
    </row>
    <row r="21" spans="1:17" s="13" customFormat="1">
      <c r="A21" s="13"/>
      <c r="B21" s="37" t="s">
        <v>29</v>
      </c>
      <c r="C21" s="38">
        <v>4</v>
      </c>
      <c r="D21" s="40">
        <v>4.63</v>
      </c>
      <c r="E21" s="13"/>
      <c r="F21" s="13"/>
      <c r="G21" s="13"/>
      <c r="H21" s="13"/>
      <c r="I21" s="13"/>
      <c r="J21" s="13"/>
      <c r="K21" s="13"/>
      <c r="L21" s="13"/>
      <c r="M21" s="13"/>
      <c r="N21" s="13"/>
      <c r="O21" s="13"/>
      <c r="P21" s="13"/>
      <c r="Q21" s="13"/>
    </row>
    <row r="22" spans="1:17" s="13" customFormat="1">
      <c r="A22" s="13"/>
      <c r="B22" s="37" t="s">
        <v>43</v>
      </c>
      <c r="C22" s="38">
        <v>1</v>
      </c>
      <c r="D22" s="40">
        <v>4.98</v>
      </c>
      <c r="E22" s="13"/>
      <c r="F22" s="13"/>
      <c r="G22" s="13"/>
      <c r="H22" s="13"/>
      <c r="I22" s="13"/>
      <c r="J22" s="13"/>
      <c r="K22" s="13"/>
      <c r="L22" s="13"/>
      <c r="M22" s="13"/>
      <c r="N22" s="13"/>
      <c r="O22" s="13"/>
      <c r="P22" s="13"/>
      <c r="Q22" s="13"/>
    </row>
    <row r="23" spans="1:17" s="13" customFormat="1">
      <c r="A23" s="13"/>
      <c r="B23" s="13"/>
      <c r="C23" s="13"/>
      <c r="D23" s="13"/>
      <c r="E23" s="13"/>
      <c r="F23" s="13"/>
      <c r="G23" s="13"/>
      <c r="H23" s="13"/>
      <c r="I23" s="13"/>
      <c r="J23" s="13"/>
      <c r="K23" s="13"/>
      <c r="L23" s="13"/>
      <c r="M23" s="13"/>
      <c r="N23" s="13"/>
      <c r="O23" s="13"/>
      <c r="P23" s="13"/>
      <c r="Q23" s="13"/>
    </row>
    <row r="24" spans="1:17" s="13" customFormat="1">
      <c r="A24" s="13"/>
      <c r="B24" s="13"/>
      <c r="C24" s="13"/>
      <c r="D24" s="13"/>
      <c r="E24" s="13"/>
      <c r="F24" s="13"/>
      <c r="G24" s="13"/>
      <c r="H24" s="13"/>
      <c r="I24" s="13"/>
      <c r="J24" s="13"/>
      <c r="K24" s="13"/>
      <c r="L24" s="13"/>
      <c r="M24" s="13"/>
      <c r="N24" s="13"/>
      <c r="O24" s="13"/>
      <c r="P24" s="13"/>
      <c r="Q24" s="13"/>
    </row>
    <row r="25" spans="1:17" s="13" customFormat="1">
      <c r="A25" s="13"/>
      <c r="B25" s="13"/>
      <c r="C25" s="13"/>
      <c r="D25" s="13"/>
      <c r="E25" s="13"/>
      <c r="F25" s="13"/>
      <c r="G25" s="13"/>
      <c r="H25" s="13"/>
      <c r="I25" s="13"/>
      <c r="J25" s="13"/>
      <c r="K25" s="13"/>
      <c r="L25" s="13"/>
      <c r="M25" s="13"/>
      <c r="N25" s="13"/>
      <c r="O25" s="13"/>
      <c r="P25" s="13"/>
      <c r="Q25" s="13"/>
    </row>
    <row r="26" spans="1:17" s="13" customFormat="1">
      <c r="A26" s="13"/>
      <c r="B26" s="13"/>
      <c r="C26" s="13"/>
      <c r="D26" s="13"/>
      <c r="E26" s="13"/>
      <c r="F26" s="13"/>
      <c r="G26" s="13"/>
      <c r="H26" s="13"/>
      <c r="I26" s="13"/>
      <c r="J26" s="13"/>
      <c r="K26" s="13"/>
      <c r="L26" s="13"/>
      <c r="M26" s="13"/>
      <c r="N26" s="13"/>
      <c r="O26" s="13"/>
      <c r="P26" s="13"/>
      <c r="Q26" s="13"/>
    </row>
    <row r="27" spans="1:17" s="13" customFormat="1">
      <c r="A27" s="13"/>
      <c r="B27" s="13"/>
      <c r="C27" s="13"/>
      <c r="D27" s="13"/>
      <c r="E27" s="13"/>
      <c r="F27" s="13"/>
      <c r="G27" s="13"/>
      <c r="H27" s="13"/>
      <c r="I27" s="13"/>
      <c r="J27" s="13"/>
      <c r="K27" s="13"/>
      <c r="L27" s="13"/>
      <c r="M27" s="13"/>
      <c r="N27" s="13"/>
      <c r="O27" s="13"/>
      <c r="P27" s="13"/>
      <c r="Q27" s="13"/>
    </row>
    <row r="28" spans="1:17" s="13" customFormat="1">
      <c r="A28" s="13"/>
      <c r="B28" s="13"/>
      <c r="C28" s="13"/>
      <c r="D28" s="13"/>
      <c r="E28" s="13"/>
      <c r="F28" s="13"/>
      <c r="G28" s="13"/>
      <c r="H28" s="13"/>
      <c r="I28" s="13"/>
      <c r="J28" s="13"/>
      <c r="K28" s="13"/>
      <c r="L28" s="13"/>
      <c r="M28" s="13"/>
      <c r="N28" s="13"/>
      <c r="O28" s="13"/>
      <c r="P28" s="13"/>
      <c r="Q28" s="13"/>
    </row>
    <row r="29" spans="1:17" s="13" customFormat="1">
      <c r="A29" s="13"/>
      <c r="B29" s="13"/>
      <c r="C29" s="13"/>
      <c r="D29" s="13"/>
      <c r="E29" s="13"/>
      <c r="F29" s="13"/>
      <c r="G29" s="13"/>
      <c r="H29" s="13"/>
      <c r="I29" s="13"/>
      <c r="J29" s="13"/>
      <c r="K29" s="13"/>
      <c r="L29" s="13"/>
      <c r="M29" s="13"/>
      <c r="N29" s="13"/>
      <c r="O29" s="13"/>
      <c r="P29" s="13"/>
      <c r="Q29" s="13"/>
    </row>
    <row r="30" spans="1:17" s="13" customFormat="1">
      <c r="A30" s="13"/>
      <c r="B30" s="13"/>
      <c r="C30" s="13"/>
      <c r="D30" s="13"/>
      <c r="E30" s="13"/>
      <c r="F30" s="13"/>
      <c r="G30" s="13"/>
      <c r="H30" s="13"/>
      <c r="I30" s="13"/>
      <c r="J30" s="13"/>
      <c r="K30" s="13"/>
      <c r="L30" s="13"/>
      <c r="M30" s="13"/>
      <c r="N30" s="13"/>
      <c r="O30" s="13"/>
      <c r="P30" s="13"/>
      <c r="Q30" s="13"/>
    </row>
    <row r="31" spans="1:17" s="13" customFormat="1">
      <c r="A31" s="13"/>
      <c r="B31" s="13"/>
      <c r="C31" s="13"/>
      <c r="D31" s="13"/>
      <c r="E31" s="13"/>
      <c r="F31" s="13"/>
      <c r="G31" s="13"/>
      <c r="H31" s="13"/>
      <c r="I31" s="13"/>
      <c r="J31" s="13"/>
      <c r="K31" s="13"/>
      <c r="L31" s="13"/>
      <c r="M31" s="13"/>
      <c r="N31" s="13"/>
      <c r="O31" s="13"/>
      <c r="P31" s="13"/>
      <c r="Q31" s="13"/>
    </row>
    <row r="32" spans="1:17" s="13" customFormat="1">
      <c r="A32" s="13"/>
      <c r="B32" s="13"/>
      <c r="C32" s="13"/>
      <c r="D32" s="13"/>
      <c r="E32" s="13"/>
      <c r="F32" s="13"/>
      <c r="G32" s="13"/>
      <c r="H32" s="13"/>
      <c r="I32" s="13"/>
      <c r="J32" s="13"/>
      <c r="K32" s="13"/>
      <c r="L32" s="13"/>
      <c r="M32" s="13"/>
      <c r="N32" s="13"/>
      <c r="O32" s="13"/>
      <c r="P32" s="13"/>
      <c r="Q32" s="13"/>
    </row>
    <row r="33" spans="1:17" s="13" customFormat="1">
      <c r="A33" s="13"/>
      <c r="B33" s="13"/>
      <c r="C33" s="13"/>
      <c r="D33" s="13"/>
      <c r="E33" s="13"/>
      <c r="F33" s="13"/>
      <c r="G33" s="13"/>
      <c r="H33" s="13"/>
      <c r="I33" s="13"/>
      <c r="J33" s="13"/>
      <c r="K33" s="13"/>
      <c r="L33" s="13"/>
      <c r="M33" s="13"/>
      <c r="N33" s="13"/>
      <c r="O33" s="13"/>
      <c r="P33" s="13"/>
      <c r="Q33" s="13"/>
    </row>
    <row r="34" spans="1:17" s="13" customFormat="1">
      <c r="A34" s="13"/>
      <c r="B34" s="13"/>
      <c r="C34" s="13"/>
      <c r="D34" s="13"/>
      <c r="E34" s="13"/>
      <c r="F34" s="13"/>
      <c r="G34" s="13"/>
      <c r="H34" s="13"/>
      <c r="I34" s="13"/>
      <c r="J34" s="13"/>
      <c r="K34" s="13"/>
      <c r="L34" s="13"/>
      <c r="M34" s="13"/>
      <c r="N34" s="13"/>
      <c r="O34" s="13"/>
      <c r="P34" s="13"/>
      <c r="Q34" s="13"/>
    </row>
    <row r="35" spans="1:17" s="13" customFormat="1">
      <c r="A35" s="13"/>
      <c r="B35" s="13"/>
      <c r="C35" s="13"/>
      <c r="D35" s="13"/>
      <c r="E35" s="13"/>
      <c r="F35" s="13"/>
      <c r="G35" s="13"/>
      <c r="H35" s="13"/>
      <c r="I35" s="13"/>
      <c r="J35" s="13"/>
      <c r="K35" s="13"/>
      <c r="L35" s="13"/>
      <c r="M35" s="13"/>
      <c r="N35" s="13"/>
      <c r="O35" s="13"/>
      <c r="P35" s="13"/>
      <c r="Q35" s="13"/>
    </row>
    <row r="36" spans="1:17" s="13" customFormat="1">
      <c r="A36" s="13"/>
      <c r="B36" s="13"/>
      <c r="C36" s="13"/>
      <c r="D36" s="13"/>
      <c r="E36" s="13"/>
      <c r="F36" s="13"/>
      <c r="G36" s="13"/>
      <c r="H36" s="13"/>
      <c r="I36" s="13"/>
      <c r="J36" s="13"/>
      <c r="K36" s="13"/>
      <c r="L36" s="13"/>
      <c r="M36" s="13"/>
      <c r="N36" s="13"/>
      <c r="O36" s="13"/>
      <c r="P36" s="13"/>
      <c r="Q36" s="13"/>
    </row>
    <row r="37" spans="1:17" s="13" customFormat="1">
      <c r="A37" s="13"/>
      <c r="B37" s="13"/>
      <c r="C37" s="13"/>
      <c r="D37" s="13"/>
      <c r="E37" s="13"/>
      <c r="F37" s="13"/>
      <c r="G37" s="13"/>
      <c r="H37" s="13"/>
      <c r="I37" s="13"/>
      <c r="J37" s="13"/>
      <c r="K37" s="13"/>
      <c r="L37" s="13"/>
      <c r="M37" s="13"/>
      <c r="N37" s="13"/>
      <c r="O37" s="13"/>
      <c r="P37" s="13"/>
      <c r="Q37" s="13"/>
    </row>
    <row r="38" spans="1:17" s="13" customFormat="1">
      <c r="A38" s="13"/>
      <c r="B38" s="13"/>
      <c r="C38" s="13"/>
      <c r="D38" s="13"/>
      <c r="E38" s="13"/>
      <c r="F38" s="13"/>
      <c r="G38" s="13"/>
      <c r="H38" s="13"/>
      <c r="I38" s="13"/>
      <c r="J38" s="13"/>
      <c r="K38" s="13"/>
      <c r="L38" s="13"/>
      <c r="M38" s="13"/>
      <c r="N38" s="13"/>
      <c r="O38" s="13"/>
      <c r="P38" s="13"/>
      <c r="Q38" s="13"/>
    </row>
    <row r="39" spans="1:17" s="13" customFormat="1">
      <c r="A39" s="13"/>
      <c r="B39" s="13"/>
      <c r="C39" s="13"/>
      <c r="D39" s="13"/>
      <c r="E39" s="13"/>
      <c r="F39" s="13"/>
      <c r="G39" s="13"/>
      <c r="H39" s="13"/>
      <c r="I39" s="13"/>
      <c r="J39" s="13"/>
      <c r="K39" s="13"/>
      <c r="L39" s="13"/>
      <c r="M39" s="13"/>
      <c r="N39" s="13"/>
      <c r="O39" s="13"/>
      <c r="P39" s="13"/>
      <c r="Q39" s="13"/>
    </row>
    <row r="40" spans="1:17" s="13" customFormat="1">
      <c r="A40" s="13"/>
      <c r="B40" s="13"/>
      <c r="C40" s="13"/>
      <c r="D40" s="13"/>
      <c r="E40" s="13"/>
      <c r="F40" s="13"/>
      <c r="G40" s="13"/>
      <c r="H40" s="13"/>
      <c r="I40" s="13"/>
      <c r="J40" s="13"/>
      <c r="K40" s="13"/>
      <c r="L40" s="13"/>
      <c r="M40" s="13"/>
      <c r="N40" s="13"/>
      <c r="O40" s="13"/>
      <c r="P40" s="13"/>
      <c r="Q40" s="13"/>
    </row>
    <row r="41" spans="1:17" s="13" customFormat="1">
      <c r="A41" s="13"/>
      <c r="B41" s="13"/>
      <c r="C41" s="13"/>
      <c r="D41" s="13"/>
      <c r="E41" s="13"/>
      <c r="F41" s="13"/>
      <c r="G41" s="13"/>
      <c r="H41" s="13"/>
      <c r="I41" s="13"/>
      <c r="J41" s="13"/>
      <c r="K41" s="13"/>
      <c r="L41" s="13"/>
      <c r="M41" s="13"/>
      <c r="N41" s="13"/>
      <c r="O41" s="13"/>
      <c r="P41" s="13"/>
      <c r="Q41" s="13"/>
    </row>
    <row r="42" spans="1:17" s="13" customFormat="1">
      <c r="A42" s="13"/>
      <c r="B42" s="13"/>
      <c r="C42" s="13"/>
      <c r="D42" s="13"/>
      <c r="E42" s="13"/>
      <c r="F42" s="13"/>
      <c r="G42" s="13"/>
      <c r="H42" s="13"/>
      <c r="I42" s="13"/>
      <c r="J42" s="13"/>
      <c r="K42" s="13"/>
      <c r="L42" s="13"/>
      <c r="M42" s="13"/>
      <c r="N42" s="13"/>
      <c r="O42" s="13"/>
      <c r="P42" s="13"/>
      <c r="Q42" s="13"/>
    </row>
    <row r="43" spans="1:17" s="13" customFormat="1">
      <c r="A43" s="13"/>
      <c r="B43" s="13"/>
      <c r="C43" s="13"/>
      <c r="D43" s="13"/>
      <c r="E43" s="13"/>
      <c r="F43" s="13"/>
      <c r="G43" s="13"/>
      <c r="H43" s="13"/>
      <c r="I43" s="13"/>
      <c r="J43" s="13"/>
      <c r="K43" s="13"/>
      <c r="L43" s="13"/>
      <c r="M43" s="13"/>
      <c r="N43" s="13"/>
      <c r="O43" s="13"/>
      <c r="P43" s="13"/>
      <c r="Q43" s="13"/>
    </row>
    <row r="44" spans="1:17" s="13" customFormat="1">
      <c r="A44" s="13"/>
      <c r="B44" s="13"/>
      <c r="C44" s="13"/>
      <c r="D44" s="13"/>
      <c r="E44" s="13"/>
      <c r="F44" s="13"/>
      <c r="G44" s="13"/>
      <c r="H44" s="13"/>
      <c r="I44" s="13"/>
      <c r="J44" s="13"/>
      <c r="K44" s="13"/>
      <c r="L44" s="13"/>
      <c r="M44" s="13"/>
      <c r="N44" s="13"/>
      <c r="O44" s="13"/>
      <c r="P44" s="13"/>
      <c r="Q44" s="13"/>
    </row>
    <row r="45" spans="1:17" s="13" customFormat="1">
      <c r="A45" s="13"/>
      <c r="B45" s="13"/>
      <c r="C45" s="13"/>
      <c r="D45" s="13"/>
      <c r="E45" s="13"/>
      <c r="F45" s="13"/>
      <c r="G45" s="13"/>
      <c r="H45" s="13"/>
      <c r="I45" s="13"/>
      <c r="J45" s="13"/>
      <c r="K45" s="13"/>
      <c r="L45" s="13"/>
      <c r="M45" s="13"/>
      <c r="N45" s="13"/>
      <c r="O45" s="13"/>
      <c r="P45" s="13"/>
      <c r="Q45" s="13"/>
    </row>
    <row r="46" spans="1:17" s="13" customFormat="1">
      <c r="A46" s="13"/>
      <c r="B46" s="13"/>
      <c r="C46" s="13"/>
      <c r="D46" s="13"/>
      <c r="E46" s="13"/>
      <c r="F46" s="13"/>
      <c r="G46" s="13"/>
      <c r="H46" s="13"/>
      <c r="I46" s="13"/>
      <c r="J46" s="13"/>
      <c r="K46" s="13"/>
      <c r="L46" s="13"/>
      <c r="M46" s="13"/>
      <c r="N46" s="13"/>
      <c r="O46" s="13"/>
      <c r="P46" s="13"/>
      <c r="Q46" s="13"/>
    </row>
    <row r="47" spans="1:17" s="13" customFormat="1">
      <c r="A47" s="13"/>
      <c r="B47" s="13"/>
      <c r="C47" s="13"/>
      <c r="D47" s="13"/>
      <c r="E47" s="13"/>
      <c r="F47" s="13"/>
      <c r="G47" s="13"/>
      <c r="H47" s="13"/>
      <c r="I47" s="13"/>
      <c r="J47" s="13"/>
      <c r="K47" s="13"/>
      <c r="L47" s="13"/>
      <c r="M47" s="13"/>
      <c r="N47" s="13"/>
      <c r="O47" s="13"/>
      <c r="P47" s="13"/>
      <c r="Q47" s="13"/>
    </row>
    <row r="48" spans="1:17" s="13" customFormat="1">
      <c r="A48" s="13"/>
      <c r="B48" s="13"/>
      <c r="C48" s="13"/>
      <c r="D48" s="13"/>
      <c r="E48" s="13"/>
      <c r="F48" s="13"/>
      <c r="G48" s="13"/>
      <c r="H48" s="13"/>
      <c r="I48" s="13"/>
      <c r="J48" s="13"/>
      <c r="K48" s="13"/>
      <c r="L48" s="13"/>
      <c r="M48" s="13"/>
      <c r="N48" s="13"/>
      <c r="O48" s="13"/>
      <c r="P48" s="13"/>
      <c r="Q48" s="13"/>
    </row>
    <row r="49" spans="1:17" s="13" customFormat="1">
      <c r="A49" s="13"/>
      <c r="B49" s="13"/>
      <c r="C49" s="13"/>
      <c r="D49" s="13"/>
      <c r="E49" s="13"/>
      <c r="F49" s="13"/>
      <c r="G49" s="13"/>
      <c r="H49" s="13"/>
      <c r="I49" s="13"/>
      <c r="J49" s="13"/>
      <c r="K49" s="13"/>
      <c r="L49" s="13"/>
      <c r="M49" s="13"/>
      <c r="N49" s="13"/>
      <c r="O49" s="13"/>
      <c r="P49" s="13"/>
      <c r="Q49" s="13"/>
    </row>
    <row r="50" spans="1:17" s="13" customFormat="1">
      <c r="A50" s="13"/>
      <c r="B50" s="13"/>
      <c r="C50" s="13"/>
      <c r="D50" s="13"/>
      <c r="E50" s="13"/>
      <c r="F50" s="13"/>
      <c r="G50" s="13"/>
      <c r="H50" s="13"/>
      <c r="I50" s="13"/>
      <c r="J50" s="13"/>
      <c r="K50" s="13"/>
      <c r="L50" s="13"/>
      <c r="M50" s="13"/>
      <c r="N50" s="13"/>
      <c r="O50" s="13"/>
      <c r="P50" s="13"/>
      <c r="Q50" s="13"/>
    </row>
    <row r="51" spans="1:17" s="13" customFormat="1">
      <c r="A51" s="13"/>
      <c r="B51" s="13"/>
      <c r="C51" s="13"/>
      <c r="D51" s="13"/>
      <c r="E51" s="13"/>
      <c r="F51" s="13"/>
      <c r="G51" s="13"/>
      <c r="H51" s="13"/>
      <c r="I51" s="13"/>
      <c r="J51" s="13"/>
      <c r="K51" s="13"/>
      <c r="L51" s="13"/>
      <c r="M51" s="13"/>
      <c r="N51" s="13"/>
      <c r="O51" s="13"/>
      <c r="P51" s="13"/>
      <c r="Q51" s="13"/>
    </row>
    <row r="52" spans="1:17" s="13" customFormat="1">
      <c r="A52" s="13"/>
      <c r="B52" s="13"/>
      <c r="C52" s="13"/>
      <c r="D52" s="13"/>
      <c r="E52" s="13"/>
      <c r="F52" s="13"/>
      <c r="G52" s="13"/>
      <c r="H52" s="13"/>
      <c r="I52" s="13"/>
      <c r="J52" s="13"/>
      <c r="K52" s="13"/>
      <c r="L52" s="13"/>
      <c r="M52" s="13"/>
      <c r="N52" s="13"/>
      <c r="O52" s="13"/>
      <c r="P52" s="13"/>
      <c r="Q52" s="13"/>
    </row>
    <row r="53" spans="1:17" s="13" customFormat="1">
      <c r="A53" s="13"/>
      <c r="B53" s="13"/>
      <c r="C53" s="13"/>
      <c r="D53" s="13"/>
      <c r="E53" s="13"/>
      <c r="F53" s="13"/>
      <c r="G53" s="13"/>
      <c r="H53" s="13"/>
      <c r="I53" s="13"/>
      <c r="J53" s="13"/>
      <c r="K53" s="13"/>
      <c r="L53" s="13"/>
      <c r="M53" s="13"/>
      <c r="N53" s="13"/>
      <c r="O53" s="13"/>
      <c r="P53" s="13"/>
      <c r="Q53" s="13"/>
    </row>
    <row r="54" spans="1:17" s="13" customFormat="1">
      <c r="A54" s="13"/>
      <c r="B54" s="13"/>
      <c r="C54" s="13"/>
      <c r="D54" s="13"/>
      <c r="E54" s="13"/>
      <c r="F54" s="13"/>
      <c r="G54" s="13"/>
      <c r="H54" s="13"/>
      <c r="I54" s="13"/>
      <c r="J54" s="13"/>
      <c r="K54" s="13"/>
      <c r="L54" s="13"/>
      <c r="M54" s="13"/>
      <c r="N54" s="13"/>
      <c r="O54" s="13"/>
      <c r="P54" s="13"/>
      <c r="Q54" s="13"/>
    </row>
    <row r="55" spans="1:17" s="13" customFormat="1">
      <c r="A55" s="13"/>
      <c r="B55" s="13"/>
      <c r="C55" s="13"/>
      <c r="D55" s="13"/>
      <c r="E55" s="13"/>
      <c r="F55" s="13"/>
      <c r="G55" s="13"/>
      <c r="H55" s="13"/>
      <c r="I55" s="13"/>
      <c r="J55" s="13"/>
      <c r="K55" s="13"/>
      <c r="L55" s="13"/>
      <c r="M55" s="13"/>
      <c r="N55" s="13"/>
      <c r="O55" s="13"/>
      <c r="P55" s="13"/>
      <c r="Q55" s="13"/>
    </row>
    <row r="56" spans="1:17" s="13" customFormat="1">
      <c r="A56" s="13"/>
      <c r="B56" s="13"/>
      <c r="C56" s="13"/>
      <c r="D56" s="13"/>
      <c r="E56" s="13"/>
      <c r="F56" s="13"/>
      <c r="G56" s="13"/>
      <c r="H56" s="13"/>
      <c r="I56" s="13"/>
      <c r="J56" s="13"/>
      <c r="K56" s="13"/>
      <c r="L56" s="13"/>
      <c r="M56" s="13"/>
      <c r="N56" s="13"/>
      <c r="O56" s="13"/>
      <c r="P56" s="13"/>
      <c r="Q56" s="13"/>
    </row>
    <row r="57" spans="1:17" s="13" customFormat="1">
      <c r="A57" s="13"/>
      <c r="B57" s="13"/>
      <c r="C57" s="13"/>
      <c r="D57" s="13"/>
      <c r="E57" s="13"/>
      <c r="F57" s="13"/>
      <c r="G57" s="13"/>
      <c r="H57" s="13"/>
      <c r="I57" s="13"/>
      <c r="J57" s="13"/>
      <c r="K57" s="13"/>
      <c r="L57" s="13"/>
      <c r="M57" s="13"/>
      <c r="N57" s="13"/>
      <c r="O57" s="13"/>
      <c r="P57" s="13"/>
      <c r="Q57" s="13"/>
    </row>
    <row r="58" spans="1:17" s="13" customFormat="1">
      <c r="A58" s="13"/>
      <c r="B58" s="13"/>
      <c r="C58" s="13"/>
      <c r="D58" s="13"/>
      <c r="E58" s="13"/>
      <c r="F58" s="13"/>
      <c r="G58" s="13"/>
      <c r="H58" s="13"/>
      <c r="I58" s="13"/>
      <c r="J58" s="13"/>
      <c r="K58" s="13"/>
      <c r="L58" s="13"/>
      <c r="M58" s="13"/>
      <c r="N58" s="13"/>
      <c r="O58" s="13"/>
      <c r="P58" s="13"/>
      <c r="Q58" s="13"/>
    </row>
    <row r="59" spans="1:17" s="13" customFormat="1">
      <c r="A59" s="13"/>
      <c r="B59" s="13"/>
      <c r="C59" s="13"/>
      <c r="D59" s="13"/>
      <c r="E59" s="13"/>
      <c r="F59" s="13"/>
      <c r="G59" s="13"/>
      <c r="H59" s="13"/>
      <c r="I59" s="13"/>
      <c r="J59" s="13"/>
      <c r="K59" s="13"/>
      <c r="L59" s="13"/>
      <c r="M59" s="13"/>
      <c r="N59" s="13"/>
      <c r="O59" s="13"/>
      <c r="P59" s="13"/>
      <c r="Q59" s="13"/>
    </row>
    <row r="60" spans="1:17" s="13" customFormat="1">
      <c r="A60" s="13"/>
      <c r="B60" s="13"/>
      <c r="C60" s="13"/>
      <c r="D60" s="13"/>
      <c r="E60" s="13"/>
      <c r="F60" s="13"/>
      <c r="G60" s="13"/>
      <c r="H60" s="13"/>
      <c r="I60" s="13"/>
      <c r="J60" s="13"/>
      <c r="K60" s="13"/>
      <c r="L60" s="13"/>
      <c r="M60" s="13"/>
      <c r="N60" s="13"/>
      <c r="O60" s="13"/>
      <c r="P60" s="13"/>
      <c r="Q60" s="13"/>
    </row>
  </sheetData>
  <mergeCells count="4">
    <mergeCell ref="B2:O2"/>
    <mergeCell ref="B3:O3"/>
    <mergeCell ref="B5:O5"/>
    <mergeCell ref="B17:O17"/>
  </mergeCells>
  <conditionalFormatting sqref="D20:D22">
    <cfRule type="colorScale" priority="1">
      <colorScale>
        <cfvo type="min" val="0"/>
        <cfvo type="percentile" val="50"/>
        <cfvo type="max" val="0"/>
        <color rgb="FF22C55E"/>
        <color rgb="FFF59E0B"/>
        <color rgb="FFEF4444"/>
      </colorScale>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sheetPr>
    <tabColor rgb="FF475569"/>
  </sheetPr>
  <dimension ref="A2:B22"/>
  <sheetViews>
    <sheetView showGridLines="0" workbookViewId="0"/>
  </sheetViews>
  <sheetFormatPr defaultRowHeight="15"/>
  <cols>
    <col min="1" max="1" width="2.7109375" customWidth="1"/>
    <col min="2" max="2" width="110.7109375" customWidth="1"/>
  </cols>
  <sheetData>
    <row r="2" spans="2:2" ht="30" customHeight="1">
      <c r="B2" s="41" t="s">
        <v>355</v>
      </c>
    </row>
    <row r="3" spans="2:2" ht="8" customHeight="1"/>
    <row r="4" spans="2:2">
      <c r="B4" s="42" t="s">
        <v>356</v>
      </c>
    </row>
    <row r="5" spans="2:2" ht="70" customHeight="1">
      <c r="B5" s="43" t="s">
        <v>357</v>
      </c>
    </row>
    <row r="7" spans="2:2">
      <c r="B7" s="42" t="s">
        <v>358</v>
      </c>
    </row>
    <row r="8" spans="2:2" ht="70" customHeight="1">
      <c r="B8" s="43" t="s">
        <v>359</v>
      </c>
    </row>
    <row r="10" spans="2:2">
      <c r="B10" s="42" t="s">
        <v>360</v>
      </c>
    </row>
    <row r="11" spans="2:2" ht="90" customHeight="1">
      <c r="B11" s="43" t="s">
        <v>361</v>
      </c>
    </row>
    <row r="13" spans="2:2">
      <c r="B13" s="42" t="s">
        <v>362</v>
      </c>
    </row>
    <row r="14" spans="2:2" ht="80" customHeight="1">
      <c r="B14" s="43" t="s">
        <v>363</v>
      </c>
    </row>
    <row r="16" spans="2:2">
      <c r="B16" s="42" t="s">
        <v>364</v>
      </c>
    </row>
    <row r="17" spans="2:2" ht="90" customHeight="1">
      <c r="B17" s="43" t="s">
        <v>365</v>
      </c>
    </row>
    <row r="19" spans="2:2">
      <c r="B19" s="42" t="s">
        <v>366</v>
      </c>
    </row>
    <row r="20" spans="2:2">
      <c r="B20" s="44" t="s">
        <v>367</v>
      </c>
    </row>
    <row r="21" spans="2:2">
      <c r="B21" s="44" t="s">
        <v>368</v>
      </c>
    </row>
    <row r="22" spans="2:2">
      <c r="B22" s="44" t="s">
        <v>369</v>
      </c>
    </row>
  </sheetData>
  <hyperlinks>
    <hyperlink ref="B20" location="'Dashboard'!A1" display="-&gt; Open Dashboard"/>
    <hyperlink ref="B21" location="'Raw_Data'!A1" display="-&gt; Open Raw_Data"/>
    <hyperlink ref="B22" location="'Pivot_Calculations'!A1" display="-&gt; Open Pivot_Calculation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Raw_Data</vt:lpstr>
      <vt:lpstr>Pivot_Calculations</vt:lpstr>
      <vt:lpstr>Dashboard</vt:lpstr>
      <vt:lpstr>Category_Analysis</vt:lpstr>
      <vt:lpstr>City_Analysis</vt:lpstr>
      <vt:lpstr>Aging_Analysis</vt:lpstr>
      <vt:lpstr>Trend_Analysis</vt:lpstr>
      <vt:lpstr>SLA_Performance</vt:lpstr>
      <vt:lpstr>README</vt:lpstr>
    </vt:vector>
  </TitlesOfParts>
  <Company>Operations Analytics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Ticket Analysis Dashboard</dc:title>
  <dc:subject>Operational ticket analytics</dc:subject>
  <dc:creator>Kiro</dc:creator>
  <dc:description>Generated dashboard - filter Raw_Data table to slice the views.</dc:description>
  <cp:lastModifiedBy>Kiro</cp:lastModifiedBy>
  <dcterms:created xsi:type="dcterms:W3CDTF">2026-05-28T08:28:13Z</dcterms:created>
  <dcterms:modified xsi:type="dcterms:W3CDTF">2026-05-28T08:28:13Z</dcterms:modified>
</cp:coreProperties>
</file>